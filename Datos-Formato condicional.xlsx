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Ne$tor\Excel Tutorials\Video 41 - Formato Conditional Power BI\"/>
    </mc:Choice>
  </mc:AlternateContent>
  <xr:revisionPtr revIDLastSave="0" documentId="13_ncr:1_{3E9D8F51-BF51-4146-8402-F9C71F1C51C6}" xr6:coauthVersionLast="45" xr6:coauthVersionMax="45" xr10:uidLastSave="{00000000-0000-0000-0000-000000000000}"/>
  <bookViews>
    <workbookView xWindow="-110" yWindow="-110" windowWidth="19420" windowHeight="10420" xr2:uid="{EE2B5886-FE9A-4FDD-A706-0C3094EA4AB5}"/>
  </bookViews>
  <sheets>
    <sheet name="Reclam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67" i="1" l="1"/>
  <c r="K860" i="1"/>
  <c r="K859" i="1"/>
  <c r="K855" i="1"/>
  <c r="K854" i="1"/>
  <c r="K847" i="1"/>
  <c r="K846" i="1"/>
  <c r="K843" i="1"/>
  <c r="K840" i="1"/>
  <c r="K838" i="1"/>
  <c r="K835" i="1"/>
  <c r="K833" i="1"/>
  <c r="K832" i="1"/>
  <c r="K830" i="1"/>
  <c r="K829" i="1"/>
  <c r="K817" i="1"/>
  <c r="K814" i="1"/>
  <c r="K797" i="1"/>
  <c r="K794" i="1"/>
  <c r="K788" i="1"/>
  <c r="K785" i="1"/>
  <c r="K783" i="1"/>
  <c r="K782" i="1"/>
  <c r="K779" i="1"/>
  <c r="K775" i="1"/>
  <c r="K774" i="1"/>
  <c r="K764" i="1"/>
  <c r="K759" i="1"/>
  <c r="K757" i="1"/>
  <c r="K754" i="1"/>
  <c r="K751" i="1"/>
  <c r="K744" i="1"/>
  <c r="K739" i="1"/>
  <c r="K737" i="1"/>
  <c r="K727" i="1"/>
  <c r="K723" i="1"/>
  <c r="K721" i="1"/>
  <c r="K720" i="1"/>
  <c r="K719" i="1"/>
  <c r="K718" i="1"/>
  <c r="K716" i="1"/>
  <c r="K715" i="1"/>
  <c r="K712" i="1"/>
  <c r="K707" i="1"/>
  <c r="K703" i="1"/>
  <c r="K698" i="1"/>
  <c r="K690" i="1"/>
  <c r="K683" i="1"/>
  <c r="K677" i="1"/>
  <c r="K670" i="1"/>
  <c r="K669" i="1"/>
  <c r="K668" i="1"/>
  <c r="K662" i="1"/>
  <c r="K659" i="1"/>
  <c r="K649" i="1"/>
  <c r="K647" i="1"/>
  <c r="K643" i="1"/>
  <c r="K641" i="1"/>
  <c r="K636" i="1"/>
  <c r="K628" i="1"/>
  <c r="K625" i="1"/>
  <c r="K620" i="1"/>
  <c r="K616" i="1"/>
  <c r="K610" i="1"/>
  <c r="K600" i="1"/>
  <c r="K599" i="1"/>
  <c r="K596" i="1"/>
  <c r="K586" i="1"/>
  <c r="K580" i="1"/>
  <c r="K576" i="1"/>
  <c r="K574" i="1"/>
  <c r="K572" i="1"/>
  <c r="K571" i="1"/>
  <c r="K564" i="1"/>
  <c r="K560" i="1"/>
  <c r="K556" i="1"/>
  <c r="K554" i="1"/>
  <c r="K551" i="1"/>
  <c r="K546" i="1"/>
  <c r="K543" i="1"/>
  <c r="K540" i="1"/>
  <c r="K539" i="1"/>
  <c r="K533" i="1"/>
  <c r="K530" i="1"/>
  <c r="K524" i="1"/>
  <c r="K523" i="1"/>
  <c r="K518" i="1"/>
  <c r="K517" i="1"/>
  <c r="K513" i="1"/>
  <c r="K511" i="1"/>
  <c r="K510" i="1"/>
  <c r="K508" i="1"/>
  <c r="K494" i="1"/>
  <c r="K491" i="1"/>
  <c r="K487" i="1"/>
  <c r="K480" i="1"/>
  <c r="K477" i="1"/>
  <c r="K473" i="1"/>
  <c r="K468" i="1"/>
  <c r="K464" i="1"/>
  <c r="K460" i="1"/>
  <c r="K458" i="1"/>
  <c r="K457" i="1"/>
  <c r="K456" i="1"/>
  <c r="K455" i="1"/>
  <c r="K451" i="1"/>
  <c r="K450" i="1"/>
  <c r="K443" i="1"/>
  <c r="K440" i="1"/>
  <c r="K435" i="1"/>
  <c r="K431" i="1"/>
  <c r="K430" i="1"/>
  <c r="K428" i="1"/>
  <c r="K426" i="1"/>
  <c r="K420" i="1"/>
  <c r="K419" i="1"/>
  <c r="K400" i="1"/>
  <c r="K398" i="1"/>
  <c r="K397" i="1"/>
  <c r="K393" i="1"/>
  <c r="K392" i="1"/>
  <c r="K389" i="1"/>
  <c r="K381" i="1"/>
  <c r="K375" i="1"/>
  <c r="K370" i="1"/>
  <c r="K366" i="1"/>
  <c r="K364" i="1"/>
  <c r="K363" i="1"/>
  <c r="K362" i="1"/>
  <c r="K361" i="1"/>
  <c r="K356" i="1"/>
  <c r="K354" i="1"/>
  <c r="K352" i="1"/>
  <c r="K347" i="1"/>
  <c r="K343" i="1"/>
  <c r="K342" i="1"/>
  <c r="K331" i="1"/>
  <c r="K329" i="1"/>
  <c r="K327" i="1"/>
  <c r="K316" i="1"/>
  <c r="K313" i="1"/>
  <c r="K310" i="1"/>
  <c r="K305" i="1"/>
  <c r="K296" i="1"/>
  <c r="K293" i="1"/>
  <c r="K291" i="1"/>
  <c r="K290" i="1"/>
  <c r="K280" i="1"/>
  <c r="K279" i="1"/>
  <c r="K277" i="1"/>
  <c r="K275" i="1"/>
  <c r="K272" i="1"/>
  <c r="K253" i="1"/>
  <c r="K250" i="1"/>
  <c r="K247" i="1"/>
  <c r="K244" i="1"/>
  <c r="K233" i="1"/>
  <c r="K229" i="1"/>
  <c r="K226" i="1"/>
  <c r="K223" i="1"/>
  <c r="K216" i="1"/>
  <c r="K212" i="1"/>
  <c r="K205" i="1"/>
  <c r="K200" i="1"/>
  <c r="K199" i="1"/>
  <c r="K197" i="1"/>
  <c r="K196" i="1"/>
  <c r="K194" i="1"/>
  <c r="K192" i="1"/>
  <c r="K190" i="1"/>
  <c r="K185" i="1"/>
  <c r="K180" i="1"/>
  <c r="K164" i="1"/>
  <c r="K147" i="1"/>
  <c r="K138" i="1"/>
  <c r="K136" i="1"/>
  <c r="K134" i="1"/>
  <c r="K129" i="1"/>
  <c r="K122" i="1"/>
  <c r="K121" i="1"/>
  <c r="K117" i="1"/>
  <c r="K108" i="1"/>
  <c r="K105" i="1"/>
  <c r="K102" i="1"/>
  <c r="K97" i="1"/>
  <c r="K94" i="1"/>
  <c r="K92" i="1"/>
  <c r="K89" i="1"/>
  <c r="K86" i="1"/>
  <c r="K84" i="1"/>
  <c r="K83" i="1"/>
  <c r="K82" i="1"/>
  <c r="K81" i="1"/>
  <c r="K78" i="1"/>
  <c r="K77" i="1"/>
  <c r="K70" i="1"/>
  <c r="K68" i="1"/>
  <c r="K66" i="1"/>
  <c r="K64" i="1"/>
  <c r="K63" i="1"/>
  <c r="K62" i="1"/>
  <c r="K61" i="1"/>
  <c r="K60" i="1"/>
  <c r="K48" i="1"/>
  <c r="K45" i="1"/>
  <c r="K34" i="1"/>
  <c r="K29" i="1"/>
  <c r="K28" i="1"/>
  <c r="K26" i="1"/>
  <c r="K19" i="1"/>
  <c r="K17" i="1"/>
  <c r="K9" i="1"/>
  <c r="K8" i="1" l="1"/>
  <c r="K827" i="1"/>
  <c r="K825" i="1"/>
  <c r="K812" i="1"/>
  <c r="K789" i="1"/>
  <c r="K767" i="1"/>
  <c r="K753" i="1"/>
  <c r="K746" i="1"/>
  <c r="K741" i="1"/>
  <c r="K726" i="1"/>
  <c r="K717" i="1"/>
  <c r="K693" i="1"/>
  <c r="K687" i="1"/>
  <c r="K671" i="1"/>
  <c r="K657" i="1"/>
  <c r="K648" i="1"/>
  <c r="K642" i="1"/>
  <c r="K608" i="1"/>
  <c r="K583" i="1"/>
  <c r="K535" i="1"/>
  <c r="K532" i="1"/>
  <c r="K531" i="1"/>
  <c r="K476" i="1"/>
  <c r="K475" i="1"/>
  <c r="K429" i="1"/>
  <c r="K412" i="1"/>
  <c r="K406" i="1"/>
  <c r="K390" i="1"/>
  <c r="K387" i="1"/>
  <c r="K386" i="1"/>
  <c r="K383" i="1"/>
  <c r="K379" i="1"/>
  <c r="K339" i="1"/>
  <c r="K317" i="1"/>
  <c r="K312" i="1"/>
  <c r="K309" i="1"/>
  <c r="K295" i="1"/>
  <c r="K283" i="1"/>
  <c r="K268" i="1"/>
  <c r="K243" i="1"/>
  <c r="K235" i="1"/>
  <c r="K228" i="1"/>
  <c r="K207" i="1"/>
  <c r="K182" i="1"/>
  <c r="K175" i="1"/>
  <c r="K173" i="1"/>
  <c r="K168" i="1"/>
  <c r="K165" i="1"/>
  <c r="K142" i="1"/>
  <c r="K118" i="1"/>
  <c r="K113" i="1"/>
  <c r="K107" i="1"/>
  <c r="K101" i="1"/>
  <c r="K76" i="1"/>
  <c r="K36" i="1"/>
  <c r="K18" i="1"/>
  <c r="K852" i="1"/>
  <c r="K821" i="1"/>
  <c r="K813" i="1"/>
  <c r="K803" i="1"/>
  <c r="K728" i="1"/>
  <c r="K711" i="1"/>
  <c r="K694" i="1"/>
  <c r="K676" i="1"/>
  <c r="K658" i="1"/>
  <c r="K644" i="1"/>
  <c r="K622" i="1"/>
  <c r="K621" i="1"/>
  <c r="K594" i="1"/>
  <c r="K592" i="1"/>
  <c r="K552" i="1"/>
  <c r="K541" i="1"/>
  <c r="K538" i="1"/>
  <c r="K526" i="1"/>
  <c r="K522" i="1"/>
  <c r="K519" i="1"/>
  <c r="K500" i="1"/>
  <c r="K499" i="1"/>
  <c r="K483" i="1"/>
  <c r="K471" i="1"/>
  <c r="K465" i="1"/>
  <c r="K433" i="1"/>
  <c r="K416" i="1"/>
  <c r="K408" i="1"/>
  <c r="K376" i="1"/>
  <c r="K368" i="1"/>
  <c r="K350" i="1"/>
  <c r="K341" i="1"/>
  <c r="K255" i="1"/>
  <c r="K251" i="1"/>
  <c r="K249" i="1"/>
  <c r="K242" i="1"/>
  <c r="K240" i="1"/>
  <c r="K239" i="1"/>
  <c r="K237" i="1"/>
  <c r="K217" i="1"/>
  <c r="K208" i="1"/>
  <c r="K191" i="1"/>
  <c r="K187" i="1"/>
  <c r="K186" i="1"/>
  <c r="K181" i="1"/>
  <c r="K169" i="1"/>
  <c r="K166" i="1"/>
  <c r="K146" i="1"/>
  <c r="K131" i="1"/>
  <c r="K100" i="1"/>
  <c r="K99" i="1"/>
  <c r="K75" i="1"/>
  <c r="K22" i="1"/>
  <c r="K21" i="1"/>
  <c r="K20" i="1"/>
  <c r="K10" i="1"/>
  <c r="K876" i="1"/>
  <c r="K862" i="1"/>
  <c r="K858" i="1"/>
  <c r="K815" i="1"/>
  <c r="K805" i="1"/>
  <c r="K796" i="1"/>
  <c r="K795" i="1"/>
  <c r="K792" i="1"/>
  <c r="K784" i="1"/>
  <c r="K758" i="1"/>
  <c r="K714" i="1"/>
  <c r="K702" i="1"/>
  <c r="K663" i="1"/>
  <c r="K653" i="1"/>
  <c r="K652" i="1"/>
  <c r="K639" i="1"/>
  <c r="K632" i="1"/>
  <c r="K584" i="1"/>
  <c r="K566" i="1"/>
  <c r="K553" i="1"/>
  <c r="K549" i="1"/>
  <c r="K548" i="1"/>
  <c r="K534" i="1"/>
  <c r="K463" i="1"/>
  <c r="K442" i="1"/>
  <c r="K425" i="1"/>
  <c r="K424" i="1"/>
  <c r="K409" i="1"/>
  <c r="K395" i="1"/>
  <c r="K391" i="1"/>
  <c r="K382" i="1"/>
  <c r="K365" i="1"/>
  <c r="K358" i="1"/>
  <c r="K351" i="1"/>
  <c r="K340" i="1"/>
  <c r="K337" i="1"/>
  <c r="K326" i="1"/>
  <c r="K325" i="1"/>
  <c r="K322" i="1"/>
  <c r="K300" i="1"/>
  <c r="K299" i="1"/>
  <c r="K263" i="1"/>
  <c r="K262" i="1"/>
  <c r="K241" i="1"/>
  <c r="K234" i="1"/>
  <c r="K211" i="1"/>
  <c r="K210" i="1"/>
  <c r="K174" i="1"/>
  <c r="K156" i="1"/>
  <c r="K106" i="1"/>
  <c r="K104" i="1"/>
  <c r="K93" i="1"/>
  <c r="K80" i="1"/>
  <c r="K51" i="1"/>
  <c r="K40" i="1"/>
  <c r="K38" i="1"/>
  <c r="K866" i="1"/>
  <c r="K857" i="1"/>
  <c r="K849" i="1"/>
  <c r="K826" i="1"/>
  <c r="K807" i="1"/>
  <c r="K770" i="1"/>
  <c r="K761" i="1"/>
  <c r="K750" i="1"/>
  <c r="K743" i="1"/>
  <c r="K738" i="1"/>
  <c r="K705" i="1"/>
  <c r="K701" i="1"/>
  <c r="K692" i="1"/>
  <c r="K688" i="1"/>
  <c r="K686" i="1"/>
  <c r="K634" i="1"/>
  <c r="K631" i="1"/>
  <c r="K618" i="1"/>
  <c r="K617" i="1"/>
  <c r="K597" i="1"/>
  <c r="K595" i="1"/>
  <c r="K559" i="1"/>
  <c r="K545" i="1"/>
  <c r="K544" i="1"/>
  <c r="K514" i="1"/>
  <c r="K501" i="1"/>
  <c r="K466" i="1"/>
  <c r="K462" i="1"/>
  <c r="K449" i="1"/>
  <c r="K447" i="1"/>
  <c r="K432" i="1"/>
  <c r="K403" i="1"/>
  <c r="K384" i="1"/>
  <c r="K367" i="1"/>
  <c r="K324" i="1"/>
  <c r="K318" i="1"/>
  <c r="K304" i="1"/>
  <c r="K298" i="1"/>
  <c r="K289" i="1"/>
  <c r="K282" i="1"/>
  <c r="K266" i="1"/>
  <c r="K265" i="1"/>
  <c r="K259" i="1"/>
  <c r="K225" i="1"/>
  <c r="K204" i="1"/>
  <c r="K177" i="1"/>
  <c r="K170" i="1"/>
  <c r="K133" i="1"/>
  <c r="K128" i="1"/>
  <c r="K124" i="1"/>
  <c r="K87" i="1"/>
  <c r="K69" i="1"/>
  <c r="K57" i="1"/>
  <c r="K46" i="1"/>
  <c r="K23" i="1"/>
  <c r="K869" i="1"/>
  <c r="K865" i="1"/>
  <c r="K836" i="1"/>
  <c r="K823" i="1"/>
  <c r="K822" i="1"/>
  <c r="K820" i="1"/>
  <c r="K781" i="1"/>
  <c r="K765" i="1"/>
  <c r="K736" i="1"/>
  <c r="K724" i="1"/>
  <c r="K679" i="1"/>
  <c r="K646" i="1"/>
  <c r="K635" i="1"/>
  <c r="K619" i="1"/>
  <c r="K611" i="1"/>
  <c r="K527" i="1"/>
  <c r="K525" i="1"/>
  <c r="K521" i="1"/>
  <c r="K506" i="1"/>
  <c r="K503" i="1"/>
  <c r="K492" i="1"/>
  <c r="K488" i="1"/>
  <c r="K484" i="1"/>
  <c r="K479" i="1"/>
  <c r="K459" i="1"/>
  <c r="K454" i="1"/>
  <c r="K423" i="1"/>
  <c r="K417" i="1"/>
  <c r="K413" i="1"/>
  <c r="K373" i="1"/>
  <c r="K371" i="1"/>
  <c r="K346" i="1"/>
  <c r="K274" i="1"/>
  <c r="K261" i="1"/>
  <c r="K254" i="1"/>
  <c r="K248" i="1"/>
  <c r="K219" i="1"/>
  <c r="K214" i="1"/>
  <c r="K213" i="1"/>
  <c r="K202" i="1"/>
  <c r="K193" i="1"/>
  <c r="K172" i="1"/>
  <c r="K160" i="1"/>
  <c r="K154" i="1"/>
  <c r="K143" i="1"/>
  <c r="K137" i="1"/>
  <c r="K112" i="1"/>
  <c r="K110" i="1"/>
  <c r="K98" i="1"/>
  <c r="K91" i="1"/>
  <c r="K42" i="1"/>
  <c r="K33" i="1"/>
  <c r="K874" i="1"/>
  <c r="K864" i="1"/>
  <c r="K856" i="1"/>
  <c r="K844" i="1"/>
  <c r="K778" i="1"/>
  <c r="K771" i="1"/>
  <c r="K760" i="1"/>
  <c r="K749" i="1"/>
  <c r="K708" i="1"/>
  <c r="K699" i="1"/>
  <c r="K695" i="1"/>
  <c r="K681" i="1"/>
  <c r="K661" i="1"/>
  <c r="K655" i="1"/>
  <c r="K651" i="1"/>
  <c r="K630" i="1"/>
  <c r="K602" i="1"/>
  <c r="K598" i="1"/>
  <c r="K590" i="1"/>
  <c r="K573" i="1"/>
  <c r="K562" i="1"/>
  <c r="K557" i="1"/>
  <c r="K547" i="1"/>
  <c r="K515" i="1"/>
  <c r="K498" i="1"/>
  <c r="K495" i="1"/>
  <c r="K482" i="1"/>
  <c r="K469" i="1"/>
  <c r="K453" i="1"/>
  <c r="K436" i="1"/>
  <c r="K394" i="1"/>
  <c r="K377" i="1"/>
  <c r="K328" i="1"/>
  <c r="K308" i="1"/>
  <c r="K286" i="1"/>
  <c r="K276" i="1"/>
  <c r="K273" i="1"/>
  <c r="K246" i="1"/>
  <c r="K218" i="1"/>
  <c r="K209" i="1"/>
  <c r="K178" i="1"/>
  <c r="K148" i="1"/>
  <c r="K135" i="1"/>
  <c r="K126" i="1"/>
  <c r="K85" i="1"/>
  <c r="K59" i="1"/>
  <c r="K56" i="1"/>
  <c r="K41" i="1"/>
  <c r="K37" i="1"/>
  <c r="K27" i="1"/>
  <c r="K15" i="1"/>
  <c r="K7" i="1"/>
  <c r="K875" i="1"/>
  <c r="K871" i="1"/>
  <c r="K868" i="1"/>
  <c r="K863" i="1"/>
  <c r="K853" i="1"/>
  <c r="K819" i="1"/>
  <c r="K808" i="1"/>
  <c r="K806" i="1"/>
  <c r="K804" i="1"/>
  <c r="K802" i="1"/>
  <c r="K801" i="1"/>
  <c r="K755" i="1"/>
  <c r="K700" i="1"/>
  <c r="K689" i="1"/>
  <c r="K682" i="1"/>
  <c r="K674" i="1"/>
  <c r="K667" i="1"/>
  <c r="K640" i="1"/>
  <c r="K638" i="1"/>
  <c r="K626" i="1"/>
  <c r="K623" i="1"/>
  <c r="K614" i="1"/>
  <c r="K607" i="1"/>
  <c r="K606" i="1"/>
  <c r="K604" i="1"/>
  <c r="K579" i="1"/>
  <c r="K575" i="1"/>
  <c r="K570" i="1"/>
  <c r="K568" i="1"/>
  <c r="K555" i="1"/>
  <c r="K537" i="1"/>
  <c r="K529" i="1"/>
  <c r="K507" i="1"/>
  <c r="K505" i="1"/>
  <c r="K481" i="1"/>
  <c r="K478" i="1"/>
  <c r="K446" i="1"/>
  <c r="K444" i="1"/>
  <c r="K439" i="1"/>
  <c r="K380" i="1"/>
  <c r="K374" i="1"/>
  <c r="K359" i="1"/>
  <c r="K345" i="1"/>
  <c r="K336" i="1"/>
  <c r="K335" i="1"/>
  <c r="K301" i="1"/>
  <c r="K269" i="1"/>
  <c r="K267" i="1"/>
  <c r="K264" i="1"/>
  <c r="K257" i="1"/>
  <c r="K245" i="1"/>
  <c r="K231" i="1"/>
  <c r="K227" i="1"/>
  <c r="K201" i="1"/>
  <c r="K198" i="1"/>
  <c r="K189" i="1"/>
  <c r="K167" i="1"/>
  <c r="K157" i="1"/>
  <c r="K141" i="1"/>
  <c r="K130" i="1"/>
  <c r="K115" i="1"/>
  <c r="K103" i="1"/>
  <c r="K74" i="1"/>
  <c r="K50" i="1"/>
  <c r="K30" i="1"/>
  <c r="K25" i="1"/>
  <c r="K24" i="1"/>
  <c r="K13" i="1"/>
  <c r="K870" i="1"/>
  <c r="K851" i="1"/>
  <c r="K850" i="1"/>
  <c r="K842" i="1"/>
  <c r="K816" i="1"/>
  <c r="K811" i="1"/>
  <c r="K798" i="1"/>
  <c r="K791" i="1"/>
  <c r="K776" i="1"/>
  <c r="K769" i="1"/>
  <c r="K762" i="1"/>
  <c r="K752" i="1"/>
  <c r="K745" i="1"/>
  <c r="K734" i="1"/>
  <c r="K685" i="1"/>
  <c r="K660" i="1"/>
  <c r="K654" i="1"/>
  <c r="K633" i="1"/>
  <c r="K629" i="1"/>
  <c r="K613" i="1"/>
  <c r="K605" i="1"/>
  <c r="K587" i="1"/>
  <c r="K585" i="1"/>
  <c r="K578" i="1"/>
  <c r="K536" i="1"/>
  <c r="K512" i="1"/>
  <c r="K445" i="1"/>
  <c r="K441" i="1"/>
  <c r="K437" i="1"/>
  <c r="K415" i="1"/>
  <c r="K401" i="1"/>
  <c r="K396" i="1"/>
  <c r="K378" i="1"/>
  <c r="K323" i="1"/>
  <c r="K321" i="1"/>
  <c r="K294" i="1"/>
  <c r="K288" i="1"/>
  <c r="K284" i="1"/>
  <c r="K278" i="1"/>
  <c r="K256" i="1"/>
  <c r="K236" i="1"/>
  <c r="K176" i="1"/>
  <c r="K171" i="1"/>
  <c r="K163" i="1"/>
  <c r="K152" i="1"/>
  <c r="K132" i="1"/>
  <c r="K125" i="1"/>
  <c r="K95" i="1"/>
  <c r="K67" i="1"/>
  <c r="K53" i="1"/>
  <c r="K49" i="1"/>
  <c r="K6" i="1"/>
  <c r="K841" i="1"/>
  <c r="K831" i="1"/>
  <c r="K809" i="1"/>
  <c r="K800" i="1"/>
  <c r="K786" i="1"/>
  <c r="K772" i="1"/>
  <c r="K768" i="1"/>
  <c r="K733" i="1"/>
  <c r="K730" i="1"/>
  <c r="K725" i="1"/>
  <c r="K706" i="1"/>
  <c r="K680" i="1"/>
  <c r="K675" i="1"/>
  <c r="K672" i="1"/>
  <c r="K637" i="1"/>
  <c r="K609" i="1"/>
  <c r="K581" i="1"/>
  <c r="K567" i="1"/>
  <c r="K558" i="1"/>
  <c r="K542" i="1"/>
  <c r="K520" i="1"/>
  <c r="K489" i="1"/>
  <c r="K461" i="1"/>
  <c r="K421" i="1"/>
  <c r="K411" i="1"/>
  <c r="K344" i="1"/>
  <c r="K334" i="1"/>
  <c r="K320" i="1"/>
  <c r="K319" i="1"/>
  <c r="K315" i="1"/>
  <c r="K307" i="1"/>
  <c r="K281" i="1"/>
  <c r="K270" i="1"/>
  <c r="K232" i="1"/>
  <c r="K221" i="1"/>
  <c r="K206" i="1"/>
  <c r="K203" i="1"/>
  <c r="K183" i="1"/>
  <c r="K162" i="1"/>
  <c r="K155" i="1"/>
  <c r="K149" i="1"/>
  <c r="K96" i="1"/>
  <c r="K90" i="1"/>
  <c r="K52" i="1"/>
  <c r="K44" i="1"/>
  <c r="K32" i="1"/>
  <c r="K16" i="1"/>
  <c r="K14" i="1"/>
  <c r="K5" i="1"/>
  <c r="K873" i="1"/>
  <c r="K861" i="1"/>
  <c r="K845" i="1"/>
  <c r="K839" i="1"/>
  <c r="K818" i="1"/>
  <c r="K799" i="1"/>
  <c r="K787" i="1"/>
  <c r="K766" i="1"/>
  <c r="K763" i="1"/>
  <c r="K756" i="1"/>
  <c r="K735" i="1"/>
  <c r="K729" i="1"/>
  <c r="K710" i="1"/>
  <c r="K709" i="1"/>
  <c r="K697" i="1"/>
  <c r="K691" i="1"/>
  <c r="K665" i="1"/>
  <c r="K656" i="1"/>
  <c r="K615" i="1"/>
  <c r="K601" i="1"/>
  <c r="K591" i="1"/>
  <c r="K589" i="1"/>
  <c r="K569" i="1"/>
  <c r="K561" i="1"/>
  <c r="K550" i="1"/>
  <c r="K502" i="1"/>
  <c r="K497" i="1"/>
  <c r="K485" i="1"/>
  <c r="K474" i="1"/>
  <c r="K472" i="1"/>
  <c r="K470" i="1"/>
  <c r="K434" i="1"/>
  <c r="K427" i="1"/>
  <c r="K422" i="1"/>
  <c r="K418" i="1"/>
  <c r="K410" i="1"/>
  <c r="K402" i="1"/>
  <c r="K399" i="1"/>
  <c r="K388" i="1"/>
  <c r="K369" i="1"/>
  <c r="K357" i="1"/>
  <c r="K355" i="1"/>
  <c r="K349" i="1"/>
  <c r="K333" i="1"/>
  <c r="K332" i="1"/>
  <c r="K306" i="1"/>
  <c r="K297" i="1"/>
  <c r="K292" i="1"/>
  <c r="K285" i="1"/>
  <c r="K271" i="1"/>
  <c r="K258" i="1"/>
  <c r="K215" i="1"/>
  <c r="K153" i="1"/>
  <c r="K144" i="1"/>
  <c r="K140" i="1"/>
  <c r="K120" i="1"/>
  <c r="K119" i="1"/>
  <c r="K116" i="1"/>
  <c r="K114" i="1"/>
  <c r="K88" i="1"/>
  <c r="K73" i="1"/>
  <c r="K71" i="1"/>
  <c r="K65" i="1"/>
  <c r="K58" i="1"/>
  <c r="K47" i="1"/>
  <c r="K848" i="1"/>
  <c r="K837" i="1"/>
  <c r="K834" i="1"/>
  <c r="K810" i="1"/>
  <c r="K777" i="1"/>
  <c r="K773" i="1"/>
  <c r="K748" i="1"/>
  <c r="K742" i="1"/>
  <c r="K740" i="1"/>
  <c r="K732" i="1"/>
  <c r="K704" i="1"/>
  <c r="K696" i="1"/>
  <c r="K678" i="1"/>
  <c r="K645" i="1"/>
  <c r="K624" i="1"/>
  <c r="K603" i="1"/>
  <c r="K504" i="1"/>
  <c r="K486" i="1"/>
  <c r="K467" i="1"/>
  <c r="K448" i="1"/>
  <c r="K407" i="1"/>
  <c r="K360" i="1"/>
  <c r="K314" i="1"/>
  <c r="K311" i="1"/>
  <c r="K230" i="1"/>
  <c r="K222" i="1"/>
  <c r="K188" i="1"/>
  <c r="K184" i="1"/>
  <c r="K159" i="1"/>
  <c r="K139" i="1"/>
  <c r="K127" i="1"/>
  <c r="K123" i="1"/>
  <c r="K111" i="1"/>
  <c r="K109" i="1"/>
  <c r="K72" i="1"/>
  <c r="K55" i="1"/>
  <c r="K54" i="1"/>
  <c r="K43" i="1"/>
  <c r="K39" i="1"/>
  <c r="K35" i="1"/>
  <c r="K31" i="1"/>
  <c r="K12" i="1"/>
  <c r="K872" i="1"/>
  <c r="K828" i="1"/>
  <c r="K824" i="1"/>
  <c r="K793" i="1"/>
  <c r="K790" i="1"/>
  <c r="K780" i="1"/>
  <c r="K747" i="1"/>
  <c r="K731" i="1"/>
  <c r="K722" i="1"/>
  <c r="K713" i="1"/>
  <c r="K684" i="1"/>
  <c r="K673" i="1"/>
  <c r="K666" i="1"/>
  <c r="K664" i="1"/>
  <c r="K650" i="1"/>
  <c r="K627" i="1"/>
  <c r="K612" i="1"/>
  <c r="K593" i="1"/>
  <c r="K588" i="1"/>
  <c r="K582" i="1"/>
  <c r="K577" i="1"/>
  <c r="K565" i="1"/>
  <c r="K563" i="1"/>
  <c r="K528" i="1"/>
  <c r="K516" i="1"/>
  <c r="K509" i="1"/>
  <c r="K496" i="1"/>
  <c r="K493" i="1"/>
  <c r="K490" i="1"/>
  <c r="K452" i="1"/>
  <c r="K438" i="1"/>
  <c r="K414" i="1"/>
  <c r="K405" i="1"/>
  <c r="K404" i="1"/>
  <c r="K385" i="1"/>
  <c r="K372" i="1"/>
  <c r="K353" i="1"/>
  <c r="K348" i="1"/>
  <c r="K338" i="1"/>
  <c r="K330" i="1"/>
  <c r="K303" i="1"/>
  <c r="K302" i="1"/>
  <c r="K287" i="1"/>
  <c r="K260" i="1"/>
  <c r="K252" i="1"/>
  <c r="K238" i="1"/>
  <c r="K224" i="1"/>
  <c r="K220" i="1"/>
  <c r="K195" i="1"/>
  <c r="K179" i="1"/>
  <c r="K161" i="1"/>
  <c r="K158" i="1"/>
  <c r="K151" i="1"/>
  <c r="K150" i="1"/>
  <c r="K145" i="1"/>
  <c r="K79" i="1"/>
  <c r="K11" i="1"/>
</calcChain>
</file>

<file path=xl/sharedStrings.xml><?xml version="1.0" encoding="utf-8"?>
<sst xmlns="http://schemas.openxmlformats.org/spreadsheetml/2006/main" count="3500" uniqueCount="33">
  <si>
    <t>ID</t>
  </si>
  <si>
    <t>TV</t>
  </si>
  <si>
    <t>FedEx</t>
  </si>
  <si>
    <t>UPS</t>
  </si>
  <si>
    <t>Play Station</t>
  </si>
  <si>
    <t>DHL</t>
  </si>
  <si>
    <t>USPS</t>
  </si>
  <si>
    <t>Knoxville</t>
  </si>
  <si>
    <t>Phoenix</t>
  </si>
  <si>
    <t>Greenville</t>
  </si>
  <si>
    <t>Nashville</t>
  </si>
  <si>
    <t>Sacramento</t>
  </si>
  <si>
    <t>San Antonio</t>
  </si>
  <si>
    <t>Atlanta</t>
  </si>
  <si>
    <t>Georgia</t>
  </si>
  <si>
    <t>South Carolina</t>
  </si>
  <si>
    <t>Tennessee</t>
  </si>
  <si>
    <t>Arizona</t>
  </si>
  <si>
    <t>California</t>
  </si>
  <si>
    <t>Texas</t>
  </si>
  <si>
    <t>Fecha de reclamo</t>
  </si>
  <si>
    <t>Fecha de envío</t>
  </si>
  <si>
    <t>Compañía de delivery</t>
  </si>
  <si>
    <t>Monto de prima</t>
  </si>
  <si>
    <t>Costo el reclamo</t>
  </si>
  <si>
    <t>Costo de delivery</t>
  </si>
  <si>
    <t>Ganancia y/o pérdidas</t>
  </si>
  <si>
    <t>Ciudad</t>
  </si>
  <si>
    <t>Estado</t>
  </si>
  <si>
    <t>Producto reclamado</t>
  </si>
  <si>
    <t>Cafetera</t>
  </si>
  <si>
    <t>Laptop</t>
  </si>
  <si>
    <t>No. de 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</si>
</sst>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m/d/yy"/>
    </dxf>
    <dxf>
      <numFmt numFmtId="164" formatCode="m/d/yy"/>
    </dxf>
    <dxf>
      <font>
        <i val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DCB87-0658-4F4A-8C62-C2CC111CF41B}" name="Claim" displayName="Claim" ref="B4:M876" totalsRowShown="0" headerRowDxfId="6">
  <tableColumns count="12">
    <tableColumn id="1" xr3:uid="{9ADA0015-C2E1-4E4F-9967-89741107AF41}" name="ID"/>
    <tableColumn id="8" xr3:uid="{EE0DFF34-6F64-45FB-941C-571763B01CB5}" name="No. de reclamo"/>
    <tableColumn id="9" xr3:uid="{8D4A3353-70D0-427E-8D94-FC3C823F43A7}" name="Fecha de reclamo" dataDxfId="5" totalsRowDxfId="4"/>
    <tableColumn id="2" xr3:uid="{681A6DF4-6E61-46A1-93B4-2D8E01C88618}" name="Fecha de envío" dataDxfId="3" totalsRowDxfId="2"/>
    <tableColumn id="11" xr3:uid="{93B76D0E-CC46-4C67-BDEA-1533759D5E59}" name="Producto reclamado"/>
    <tableColumn id="7" xr3:uid="{87B36335-FFB3-4BB9-84FA-CF037239A99F}" name="Compañía de delivery"/>
    <tableColumn id="12" xr3:uid="{774F3630-2745-447F-A161-80781F5E66B3}" name="Monto de prima"/>
    <tableColumn id="3" xr3:uid="{97C006F4-8F7C-4225-86E7-D5E1F1192F2C}" name="Costo el reclamo"/>
    <tableColumn id="6" xr3:uid="{94F36895-DF65-44C8-AFA9-821C4BA6C08C}" name="Costo de delivery"/>
    <tableColumn id="10" xr3:uid="{38E7248C-CE06-4CB3-A06F-A6C702E81F68}" name="Ganancia y/o pérdidas"/>
    <tableColumn id="4" xr3:uid="{9FFD5C81-6F11-49D2-A437-613281383185}" name="Ciudad" dataDxfId="1" totalsRowDxfId="0"/>
    <tableColumn id="5" xr3:uid="{B2CCF4F4-C9E3-4CFF-8C04-F572C8C0D3E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5522-D066-4BD4-9BFC-D28123E2BD70}">
  <dimension ref="B4:M876"/>
  <sheetViews>
    <sheetView tabSelected="1" workbookViewId="0">
      <selection activeCell="K9" sqref="K9"/>
    </sheetView>
  </sheetViews>
  <sheetFormatPr defaultColWidth="10.6640625" defaultRowHeight="15.5" x14ac:dyDescent="0.35"/>
  <cols>
    <col min="2" max="2" width="3.75" bestFit="1" customWidth="1"/>
    <col min="3" max="3" width="13.5" bestFit="1" customWidth="1"/>
    <col min="4" max="4" width="15.4140625" bestFit="1" customWidth="1"/>
    <col min="5" max="5" width="13.1640625" bestFit="1" customWidth="1"/>
    <col min="6" max="6" width="17.9140625" bestFit="1" customWidth="1"/>
    <col min="7" max="7" width="19" bestFit="1" customWidth="1"/>
    <col min="8" max="8" width="14.4140625" bestFit="1" customWidth="1"/>
    <col min="9" max="9" width="14.75" bestFit="1" customWidth="1"/>
    <col min="10" max="10" width="15.1640625" bestFit="1" customWidth="1"/>
    <col min="11" max="11" width="19.6640625" bestFit="1" customWidth="1"/>
    <col min="12" max="12" width="10.83203125" bestFit="1" customWidth="1"/>
    <col min="13" max="13" width="13" bestFit="1" customWidth="1"/>
  </cols>
  <sheetData>
    <row r="4" spans="2:13" x14ac:dyDescent="0.35">
      <c r="B4" s="2" t="s">
        <v>0</v>
      </c>
      <c r="C4" s="2" t="s">
        <v>32</v>
      </c>
      <c r="D4" s="2" t="s">
        <v>20</v>
      </c>
      <c r="E4" s="2" t="s">
        <v>21</v>
      </c>
      <c r="F4" s="2" t="s">
        <v>29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</row>
    <row r="5" spans="2:13" x14ac:dyDescent="0.35">
      <c r="B5">
        <v>1</v>
      </c>
      <c r="C5">
        <v>2446</v>
      </c>
      <c r="D5" s="1">
        <v>40268</v>
      </c>
      <c r="E5" s="1">
        <v>42970</v>
      </c>
      <c r="F5" t="s">
        <v>1</v>
      </c>
      <c r="G5" t="s">
        <v>2</v>
      </c>
      <c r="H5">
        <v>250</v>
      </c>
      <c r="I5">
        <v>450</v>
      </c>
      <c r="J5">
        <v>30</v>
      </c>
      <c r="K5">
        <f>Claim[[#This Row],[Monto de prima]]-SUM(Claim[[#This Row],[Costo el reclamo]:[Costo de delivery]])</f>
        <v>-230</v>
      </c>
      <c r="L5" t="s">
        <v>7</v>
      </c>
      <c r="M5" t="s">
        <v>16</v>
      </c>
    </row>
    <row r="6" spans="2:13" x14ac:dyDescent="0.35">
      <c r="B6">
        <v>2</v>
      </c>
      <c r="C6">
        <v>4190</v>
      </c>
      <c r="D6" s="1">
        <v>42510</v>
      </c>
      <c r="E6" s="1">
        <v>43629</v>
      </c>
      <c r="F6" t="s">
        <v>1</v>
      </c>
      <c r="G6" t="s">
        <v>3</v>
      </c>
      <c r="H6">
        <v>250</v>
      </c>
      <c r="I6">
        <v>450</v>
      </c>
      <c r="J6">
        <v>80</v>
      </c>
      <c r="K6">
        <f>Claim[[#This Row],[Monto de prima]]-SUM(Claim[[#This Row],[Costo el reclamo]:[Costo de delivery]])</f>
        <v>-280</v>
      </c>
      <c r="L6" t="s">
        <v>8</v>
      </c>
      <c r="M6" t="s">
        <v>17</v>
      </c>
    </row>
    <row r="7" spans="2:13" x14ac:dyDescent="0.35">
      <c r="B7">
        <v>3</v>
      </c>
      <c r="C7">
        <v>1057</v>
      </c>
      <c r="D7" s="1">
        <v>41128</v>
      </c>
      <c r="E7" s="1">
        <v>41305</v>
      </c>
      <c r="F7" t="s">
        <v>4</v>
      </c>
      <c r="G7" t="s">
        <v>5</v>
      </c>
      <c r="H7">
        <v>1000</v>
      </c>
      <c r="I7">
        <v>550</v>
      </c>
      <c r="J7">
        <v>50</v>
      </c>
      <c r="K7">
        <f>Claim[[#This Row],[Monto de prima]]-SUM(Claim[[#This Row],[Costo el reclamo]:[Costo de delivery]])</f>
        <v>400</v>
      </c>
      <c r="L7" t="s">
        <v>7</v>
      </c>
      <c r="M7" t="s">
        <v>16</v>
      </c>
    </row>
    <row r="8" spans="2:13" x14ac:dyDescent="0.35">
      <c r="B8">
        <v>4</v>
      </c>
      <c r="C8">
        <v>3953</v>
      </c>
      <c r="D8" s="1">
        <v>40833</v>
      </c>
      <c r="E8" s="1">
        <v>41407</v>
      </c>
      <c r="F8" t="s">
        <v>31</v>
      </c>
      <c r="G8" t="s">
        <v>2</v>
      </c>
      <c r="H8">
        <v>2000</v>
      </c>
      <c r="I8">
        <v>800</v>
      </c>
      <c r="J8">
        <v>40</v>
      </c>
      <c r="K8">
        <f>Claim[[#This Row],[Monto de prima]]-SUM(Claim[[#This Row],[Costo el reclamo]:[Costo de delivery]])</f>
        <v>1160</v>
      </c>
      <c r="L8" t="s">
        <v>9</v>
      </c>
      <c r="M8" t="s">
        <v>15</v>
      </c>
    </row>
    <row r="9" spans="2:13" x14ac:dyDescent="0.35">
      <c r="B9">
        <v>5</v>
      </c>
      <c r="C9">
        <v>3347</v>
      </c>
      <c r="D9" s="1">
        <v>42682</v>
      </c>
      <c r="E9" s="1">
        <v>42682</v>
      </c>
      <c r="F9" t="s">
        <v>31</v>
      </c>
      <c r="G9" t="s">
        <v>2</v>
      </c>
      <c r="H9">
        <v>2000</v>
      </c>
      <c r="I9">
        <v>800</v>
      </c>
      <c r="J9">
        <v>40</v>
      </c>
      <c r="K9">
        <f>Claim[[#This Row],[Monto de prima]]-SUM(Claim[[#This Row],[Costo el reclamo]:[Costo de delivery]])</f>
        <v>1160</v>
      </c>
      <c r="L9" t="s">
        <v>10</v>
      </c>
      <c r="M9" t="s">
        <v>16</v>
      </c>
    </row>
    <row r="10" spans="2:13" x14ac:dyDescent="0.35">
      <c r="B10">
        <v>6</v>
      </c>
      <c r="C10">
        <v>2645</v>
      </c>
      <c r="D10" s="1">
        <v>41682</v>
      </c>
      <c r="E10" s="1">
        <v>43301</v>
      </c>
      <c r="F10" t="s">
        <v>30</v>
      </c>
      <c r="G10" t="s">
        <v>2</v>
      </c>
      <c r="H10">
        <v>600</v>
      </c>
      <c r="I10">
        <v>200</v>
      </c>
      <c r="J10">
        <v>35</v>
      </c>
      <c r="K10">
        <f>Claim[[#This Row],[Monto de prima]]-SUM(Claim[[#This Row],[Costo el reclamo]:[Costo de delivery]])</f>
        <v>365</v>
      </c>
      <c r="L10" t="s">
        <v>10</v>
      </c>
      <c r="M10" t="s">
        <v>16</v>
      </c>
    </row>
    <row r="11" spans="2:13" x14ac:dyDescent="0.35">
      <c r="B11">
        <v>7</v>
      </c>
      <c r="C11">
        <v>3819</v>
      </c>
      <c r="D11" s="1">
        <v>40284</v>
      </c>
      <c r="E11" s="1">
        <v>43147</v>
      </c>
      <c r="F11" t="s">
        <v>1</v>
      </c>
      <c r="G11" t="s">
        <v>5</v>
      </c>
      <c r="H11">
        <v>250</v>
      </c>
      <c r="I11">
        <v>450</v>
      </c>
      <c r="J11">
        <v>100</v>
      </c>
      <c r="K11">
        <f>Claim[[#This Row],[Monto de prima]]-SUM(Claim[[#This Row],[Costo el reclamo]:[Costo de delivery]])</f>
        <v>-300</v>
      </c>
      <c r="L11" t="s">
        <v>9</v>
      </c>
      <c r="M11" t="s">
        <v>15</v>
      </c>
    </row>
    <row r="12" spans="2:13" x14ac:dyDescent="0.35">
      <c r="B12">
        <v>8</v>
      </c>
      <c r="C12">
        <v>1268</v>
      </c>
      <c r="D12" s="1">
        <v>40831</v>
      </c>
      <c r="E12" s="1">
        <v>41386</v>
      </c>
      <c r="F12" t="s">
        <v>4</v>
      </c>
      <c r="G12" t="s">
        <v>2</v>
      </c>
      <c r="H12">
        <v>1000</v>
      </c>
      <c r="I12">
        <v>550</v>
      </c>
      <c r="J12">
        <v>50</v>
      </c>
      <c r="K12">
        <f>Claim[[#This Row],[Monto de prima]]-SUM(Claim[[#This Row],[Costo el reclamo]:[Costo de delivery]])</f>
        <v>400</v>
      </c>
      <c r="L12" t="s">
        <v>11</v>
      </c>
      <c r="M12" t="s">
        <v>18</v>
      </c>
    </row>
    <row r="13" spans="2:13" x14ac:dyDescent="0.35">
      <c r="B13">
        <v>9</v>
      </c>
      <c r="C13">
        <v>2495</v>
      </c>
      <c r="D13" s="1">
        <v>42592</v>
      </c>
      <c r="E13" s="1">
        <v>43816</v>
      </c>
      <c r="F13" t="s">
        <v>1</v>
      </c>
      <c r="G13" t="s">
        <v>6</v>
      </c>
      <c r="H13">
        <v>250</v>
      </c>
      <c r="I13">
        <v>450</v>
      </c>
      <c r="J13">
        <v>50</v>
      </c>
      <c r="K13">
        <f>Claim[[#This Row],[Monto de prima]]-SUM(Claim[[#This Row],[Costo el reclamo]:[Costo de delivery]])</f>
        <v>-250</v>
      </c>
      <c r="L13" t="s">
        <v>10</v>
      </c>
      <c r="M13" t="s">
        <v>16</v>
      </c>
    </row>
    <row r="14" spans="2:13" x14ac:dyDescent="0.35">
      <c r="B14">
        <v>10</v>
      </c>
      <c r="C14">
        <v>1354</v>
      </c>
      <c r="D14" s="1">
        <v>40585</v>
      </c>
      <c r="E14" s="1">
        <v>42615</v>
      </c>
      <c r="F14" t="s">
        <v>1</v>
      </c>
      <c r="G14" t="s">
        <v>2</v>
      </c>
      <c r="H14">
        <v>250</v>
      </c>
      <c r="I14">
        <v>450</v>
      </c>
      <c r="J14">
        <v>30</v>
      </c>
      <c r="K14">
        <f>Claim[[#This Row],[Monto de prima]]-SUM(Claim[[#This Row],[Costo el reclamo]:[Costo de delivery]])</f>
        <v>-230</v>
      </c>
      <c r="L14" t="s">
        <v>9</v>
      </c>
      <c r="M14" t="s">
        <v>15</v>
      </c>
    </row>
    <row r="15" spans="2:13" x14ac:dyDescent="0.35">
      <c r="B15">
        <v>11</v>
      </c>
      <c r="C15">
        <v>2710</v>
      </c>
      <c r="D15" s="1">
        <v>42398</v>
      </c>
      <c r="E15" s="1">
        <v>43507</v>
      </c>
      <c r="F15" t="s">
        <v>4</v>
      </c>
      <c r="G15" t="s">
        <v>5</v>
      </c>
      <c r="H15">
        <v>1000</v>
      </c>
      <c r="I15">
        <v>550</v>
      </c>
      <c r="J15">
        <v>50</v>
      </c>
      <c r="K15">
        <f>Claim[[#This Row],[Monto de prima]]-SUM(Claim[[#This Row],[Costo el reclamo]:[Costo de delivery]])</f>
        <v>400</v>
      </c>
      <c r="L15" t="s">
        <v>7</v>
      </c>
      <c r="M15" t="s">
        <v>16</v>
      </c>
    </row>
    <row r="16" spans="2:13" x14ac:dyDescent="0.35">
      <c r="B16">
        <v>12</v>
      </c>
      <c r="C16">
        <v>2704</v>
      </c>
      <c r="D16" s="1">
        <v>40463</v>
      </c>
      <c r="E16" s="1">
        <v>42768</v>
      </c>
      <c r="F16" t="s">
        <v>1</v>
      </c>
      <c r="G16" t="s">
        <v>2</v>
      </c>
      <c r="H16">
        <v>250</v>
      </c>
      <c r="I16">
        <v>450</v>
      </c>
      <c r="J16">
        <v>30</v>
      </c>
      <c r="K16">
        <f>Claim[[#This Row],[Monto de prima]]-SUM(Claim[[#This Row],[Costo el reclamo]:[Costo de delivery]])</f>
        <v>-230</v>
      </c>
      <c r="L16" t="s">
        <v>7</v>
      </c>
      <c r="M16" t="s">
        <v>16</v>
      </c>
    </row>
    <row r="17" spans="2:13" x14ac:dyDescent="0.35">
      <c r="B17">
        <v>13</v>
      </c>
      <c r="C17">
        <v>3055</v>
      </c>
      <c r="D17" s="1">
        <v>40352</v>
      </c>
      <c r="E17" s="1">
        <v>43038</v>
      </c>
      <c r="F17" t="s">
        <v>31</v>
      </c>
      <c r="G17" t="s">
        <v>5</v>
      </c>
      <c r="H17">
        <v>2000</v>
      </c>
      <c r="I17">
        <v>800</v>
      </c>
      <c r="J17">
        <v>25</v>
      </c>
      <c r="K17">
        <f>Claim[[#This Row],[Monto de prima]]-SUM(Claim[[#This Row],[Costo el reclamo]:[Costo de delivery]])</f>
        <v>1175</v>
      </c>
      <c r="L17" t="s">
        <v>7</v>
      </c>
      <c r="M17" t="s">
        <v>16</v>
      </c>
    </row>
    <row r="18" spans="2:13" x14ac:dyDescent="0.35">
      <c r="B18">
        <v>14</v>
      </c>
      <c r="C18">
        <v>2164</v>
      </c>
      <c r="D18" s="1">
        <v>42413</v>
      </c>
      <c r="E18" s="1">
        <v>43088</v>
      </c>
      <c r="F18" t="s">
        <v>30</v>
      </c>
      <c r="G18" t="s">
        <v>6</v>
      </c>
      <c r="H18">
        <v>600</v>
      </c>
      <c r="I18">
        <v>200</v>
      </c>
      <c r="J18">
        <v>15</v>
      </c>
      <c r="K18">
        <f>Claim[[#This Row],[Monto de prima]]-SUM(Claim[[#This Row],[Costo el reclamo]:[Costo de delivery]])</f>
        <v>385</v>
      </c>
      <c r="L18" t="s">
        <v>12</v>
      </c>
      <c r="M18" t="s">
        <v>19</v>
      </c>
    </row>
    <row r="19" spans="2:13" x14ac:dyDescent="0.35">
      <c r="B19">
        <v>15</v>
      </c>
      <c r="C19">
        <v>2962</v>
      </c>
      <c r="D19" s="1">
        <v>42031</v>
      </c>
      <c r="E19" s="1">
        <v>42031</v>
      </c>
      <c r="F19" t="s">
        <v>31</v>
      </c>
      <c r="G19" t="s">
        <v>6</v>
      </c>
      <c r="H19">
        <v>2000</v>
      </c>
      <c r="I19">
        <v>800</v>
      </c>
      <c r="J19">
        <v>20</v>
      </c>
      <c r="K19">
        <f>Claim[[#This Row],[Monto de prima]]-SUM(Claim[[#This Row],[Costo el reclamo]:[Costo de delivery]])</f>
        <v>1180</v>
      </c>
      <c r="L19" t="s">
        <v>8</v>
      </c>
      <c r="M19" t="s">
        <v>17</v>
      </c>
    </row>
    <row r="20" spans="2:13" x14ac:dyDescent="0.35">
      <c r="B20">
        <v>16</v>
      </c>
      <c r="C20">
        <v>2956</v>
      </c>
      <c r="D20" s="1">
        <v>42065</v>
      </c>
      <c r="E20" s="1">
        <v>43180</v>
      </c>
      <c r="F20" t="s">
        <v>30</v>
      </c>
      <c r="G20" t="s">
        <v>2</v>
      </c>
      <c r="H20">
        <v>600</v>
      </c>
      <c r="I20">
        <v>200</v>
      </c>
      <c r="J20">
        <v>35</v>
      </c>
      <c r="K20">
        <f>Claim[[#This Row],[Monto de prima]]-SUM(Claim[[#This Row],[Costo el reclamo]:[Costo de delivery]])</f>
        <v>365</v>
      </c>
      <c r="L20" t="s">
        <v>12</v>
      </c>
      <c r="M20" t="s">
        <v>19</v>
      </c>
    </row>
    <row r="21" spans="2:13" x14ac:dyDescent="0.35">
      <c r="B21">
        <v>17</v>
      </c>
      <c r="C21">
        <v>4204</v>
      </c>
      <c r="D21" s="1">
        <v>40336</v>
      </c>
      <c r="E21" s="1">
        <v>42077</v>
      </c>
      <c r="F21" t="s">
        <v>30</v>
      </c>
      <c r="G21" t="s">
        <v>2</v>
      </c>
      <c r="H21">
        <v>600</v>
      </c>
      <c r="I21">
        <v>200</v>
      </c>
      <c r="J21">
        <v>35</v>
      </c>
      <c r="K21">
        <f>Claim[[#This Row],[Monto de prima]]-SUM(Claim[[#This Row],[Costo el reclamo]:[Costo de delivery]])</f>
        <v>365</v>
      </c>
      <c r="L21" t="s">
        <v>9</v>
      </c>
      <c r="M21" t="s">
        <v>15</v>
      </c>
    </row>
    <row r="22" spans="2:13" x14ac:dyDescent="0.35">
      <c r="B22">
        <v>18</v>
      </c>
      <c r="C22">
        <v>4638</v>
      </c>
      <c r="D22" s="1">
        <v>42956</v>
      </c>
      <c r="E22" s="1">
        <v>42956</v>
      </c>
      <c r="F22" t="s">
        <v>30</v>
      </c>
      <c r="G22" t="s">
        <v>2</v>
      </c>
      <c r="H22">
        <v>600</v>
      </c>
      <c r="I22">
        <v>200</v>
      </c>
      <c r="J22">
        <v>35</v>
      </c>
      <c r="K22">
        <f>Claim[[#This Row],[Monto de prima]]-SUM(Claim[[#This Row],[Costo el reclamo]:[Costo de delivery]])</f>
        <v>365</v>
      </c>
      <c r="L22" t="s">
        <v>7</v>
      </c>
      <c r="M22" t="s">
        <v>16</v>
      </c>
    </row>
    <row r="23" spans="2:13" x14ac:dyDescent="0.35">
      <c r="B23">
        <v>19</v>
      </c>
      <c r="C23">
        <v>3472</v>
      </c>
      <c r="D23" s="1">
        <v>42985</v>
      </c>
      <c r="E23" s="1">
        <v>43829</v>
      </c>
      <c r="F23" t="s">
        <v>30</v>
      </c>
      <c r="G23" t="s">
        <v>5</v>
      </c>
      <c r="H23">
        <v>600</v>
      </c>
      <c r="I23">
        <v>200</v>
      </c>
      <c r="J23">
        <v>50</v>
      </c>
      <c r="K23">
        <f>Claim[[#This Row],[Monto de prima]]-SUM(Claim[[#This Row],[Costo el reclamo]:[Costo de delivery]])</f>
        <v>350</v>
      </c>
      <c r="L23" t="s">
        <v>7</v>
      </c>
      <c r="M23" t="s">
        <v>16</v>
      </c>
    </row>
    <row r="24" spans="2:13" x14ac:dyDescent="0.35">
      <c r="B24">
        <v>20</v>
      </c>
      <c r="C24">
        <v>3086</v>
      </c>
      <c r="D24" s="1">
        <v>42644</v>
      </c>
      <c r="E24" s="1">
        <v>42644</v>
      </c>
      <c r="F24" t="s">
        <v>1</v>
      </c>
      <c r="G24" t="s">
        <v>6</v>
      </c>
      <c r="H24">
        <v>250</v>
      </c>
      <c r="I24">
        <v>450</v>
      </c>
      <c r="J24">
        <v>50</v>
      </c>
      <c r="K24">
        <f>Claim[[#This Row],[Monto de prima]]-SUM(Claim[[#This Row],[Costo el reclamo]:[Costo de delivery]])</f>
        <v>-250</v>
      </c>
      <c r="L24" t="s">
        <v>13</v>
      </c>
      <c r="M24" t="s">
        <v>14</v>
      </c>
    </row>
    <row r="25" spans="2:13" x14ac:dyDescent="0.35">
      <c r="B25">
        <v>21</v>
      </c>
      <c r="C25">
        <v>1608</v>
      </c>
      <c r="D25" s="1">
        <v>41586</v>
      </c>
      <c r="E25" s="1">
        <v>42456</v>
      </c>
      <c r="F25" t="s">
        <v>1</v>
      </c>
      <c r="G25" t="s">
        <v>6</v>
      </c>
      <c r="H25">
        <v>250</v>
      </c>
      <c r="I25">
        <v>450</v>
      </c>
      <c r="J25">
        <v>50</v>
      </c>
      <c r="K25">
        <f>Claim[[#This Row],[Monto de prima]]-SUM(Claim[[#This Row],[Costo el reclamo]:[Costo de delivery]])</f>
        <v>-250</v>
      </c>
      <c r="L25" t="s">
        <v>12</v>
      </c>
      <c r="M25" t="s">
        <v>19</v>
      </c>
    </row>
    <row r="26" spans="2:13" x14ac:dyDescent="0.35">
      <c r="B26">
        <v>22</v>
      </c>
      <c r="C26">
        <v>1138</v>
      </c>
      <c r="D26" s="1">
        <v>42035</v>
      </c>
      <c r="E26" s="1">
        <v>42771</v>
      </c>
      <c r="F26" t="s">
        <v>31</v>
      </c>
      <c r="G26" t="s">
        <v>2</v>
      </c>
      <c r="H26">
        <v>2000</v>
      </c>
      <c r="I26">
        <v>800</v>
      </c>
      <c r="J26">
        <v>40</v>
      </c>
      <c r="K26">
        <f>Claim[[#This Row],[Monto de prima]]-SUM(Claim[[#This Row],[Costo el reclamo]:[Costo de delivery]])</f>
        <v>1160</v>
      </c>
      <c r="L26" t="s">
        <v>12</v>
      </c>
      <c r="M26" t="s">
        <v>19</v>
      </c>
    </row>
    <row r="27" spans="2:13" x14ac:dyDescent="0.35">
      <c r="B27">
        <v>23</v>
      </c>
      <c r="C27">
        <v>1290</v>
      </c>
      <c r="D27" s="1">
        <v>42932</v>
      </c>
      <c r="E27" s="1">
        <v>42932</v>
      </c>
      <c r="F27" t="s">
        <v>4</v>
      </c>
      <c r="G27" t="s">
        <v>5</v>
      </c>
      <c r="H27">
        <v>1000</v>
      </c>
      <c r="I27">
        <v>550</v>
      </c>
      <c r="J27">
        <v>50</v>
      </c>
      <c r="K27">
        <f>Claim[[#This Row],[Monto de prima]]-SUM(Claim[[#This Row],[Costo el reclamo]:[Costo de delivery]])</f>
        <v>400</v>
      </c>
      <c r="L27" t="s">
        <v>8</v>
      </c>
      <c r="M27" t="s">
        <v>17</v>
      </c>
    </row>
    <row r="28" spans="2:13" x14ac:dyDescent="0.35">
      <c r="B28">
        <v>24</v>
      </c>
      <c r="C28">
        <v>1067</v>
      </c>
      <c r="D28" s="1">
        <v>40512</v>
      </c>
      <c r="E28" s="1">
        <v>42367</v>
      </c>
      <c r="F28" t="s">
        <v>31</v>
      </c>
      <c r="G28" t="s">
        <v>6</v>
      </c>
      <c r="H28">
        <v>2000</v>
      </c>
      <c r="I28">
        <v>800</v>
      </c>
      <c r="J28">
        <v>20</v>
      </c>
      <c r="K28">
        <f>Claim[[#This Row],[Monto de prima]]-SUM(Claim[[#This Row],[Costo el reclamo]:[Costo de delivery]])</f>
        <v>1180</v>
      </c>
      <c r="L28" t="s">
        <v>13</v>
      </c>
      <c r="M28" t="s">
        <v>14</v>
      </c>
    </row>
    <row r="29" spans="2:13" x14ac:dyDescent="0.35">
      <c r="B29">
        <v>25</v>
      </c>
      <c r="C29">
        <v>1324</v>
      </c>
      <c r="D29" s="1">
        <v>42246</v>
      </c>
      <c r="E29" s="1">
        <v>43282</v>
      </c>
      <c r="F29" t="s">
        <v>31</v>
      </c>
      <c r="G29" t="s">
        <v>5</v>
      </c>
      <c r="H29">
        <v>2000</v>
      </c>
      <c r="I29">
        <v>800</v>
      </c>
      <c r="J29">
        <v>25</v>
      </c>
      <c r="K29">
        <f>Claim[[#This Row],[Monto de prima]]-SUM(Claim[[#This Row],[Costo el reclamo]:[Costo de delivery]])</f>
        <v>1175</v>
      </c>
      <c r="L29" t="s">
        <v>12</v>
      </c>
      <c r="M29" t="s">
        <v>19</v>
      </c>
    </row>
    <row r="30" spans="2:13" x14ac:dyDescent="0.35">
      <c r="B30">
        <v>26</v>
      </c>
      <c r="C30">
        <v>3080</v>
      </c>
      <c r="D30" s="1">
        <v>41791</v>
      </c>
      <c r="E30" s="1">
        <v>41836</v>
      </c>
      <c r="F30" t="s">
        <v>1</v>
      </c>
      <c r="G30" t="s">
        <v>6</v>
      </c>
      <c r="H30">
        <v>250</v>
      </c>
      <c r="I30">
        <v>450</v>
      </c>
      <c r="J30">
        <v>50</v>
      </c>
      <c r="K30">
        <f>Claim[[#This Row],[Monto de prima]]-SUM(Claim[[#This Row],[Costo el reclamo]:[Costo de delivery]])</f>
        <v>-250</v>
      </c>
      <c r="L30" t="s">
        <v>12</v>
      </c>
      <c r="M30" t="s">
        <v>19</v>
      </c>
    </row>
    <row r="31" spans="2:13" x14ac:dyDescent="0.35">
      <c r="B31">
        <v>27</v>
      </c>
      <c r="C31">
        <v>1089</v>
      </c>
      <c r="D31" s="1">
        <v>42590</v>
      </c>
      <c r="E31" s="1">
        <v>43616</v>
      </c>
      <c r="F31" t="s">
        <v>4</v>
      </c>
      <c r="G31" t="s">
        <v>2</v>
      </c>
      <c r="H31">
        <v>1000</v>
      </c>
      <c r="I31">
        <v>550</v>
      </c>
      <c r="J31">
        <v>50</v>
      </c>
      <c r="K31">
        <f>Claim[[#This Row],[Monto de prima]]-SUM(Claim[[#This Row],[Costo el reclamo]:[Costo de delivery]])</f>
        <v>400</v>
      </c>
      <c r="L31" t="s">
        <v>12</v>
      </c>
      <c r="M31" t="s">
        <v>19</v>
      </c>
    </row>
    <row r="32" spans="2:13" x14ac:dyDescent="0.35">
      <c r="B32">
        <v>28</v>
      </c>
      <c r="C32">
        <v>4319</v>
      </c>
      <c r="D32" s="1">
        <v>42505</v>
      </c>
      <c r="E32" s="1">
        <v>42604</v>
      </c>
      <c r="F32" t="s">
        <v>1</v>
      </c>
      <c r="G32" t="s">
        <v>2</v>
      </c>
      <c r="H32">
        <v>250</v>
      </c>
      <c r="I32">
        <v>450</v>
      </c>
      <c r="J32">
        <v>30</v>
      </c>
      <c r="K32">
        <f>Claim[[#This Row],[Monto de prima]]-SUM(Claim[[#This Row],[Costo el reclamo]:[Costo de delivery]])</f>
        <v>-230</v>
      </c>
      <c r="L32" t="s">
        <v>13</v>
      </c>
      <c r="M32" t="s">
        <v>14</v>
      </c>
    </row>
    <row r="33" spans="2:13" x14ac:dyDescent="0.35">
      <c r="B33">
        <v>29</v>
      </c>
      <c r="C33">
        <v>2340</v>
      </c>
      <c r="D33" s="1">
        <v>40183</v>
      </c>
      <c r="E33" s="1">
        <v>43598</v>
      </c>
      <c r="F33" t="s">
        <v>4</v>
      </c>
      <c r="G33" t="s">
        <v>6</v>
      </c>
      <c r="H33">
        <v>1000</v>
      </c>
      <c r="I33">
        <v>550</v>
      </c>
      <c r="J33">
        <v>30</v>
      </c>
      <c r="K33">
        <f>Claim[[#This Row],[Monto de prima]]-SUM(Claim[[#This Row],[Costo el reclamo]:[Costo de delivery]])</f>
        <v>420</v>
      </c>
      <c r="L33" t="s">
        <v>9</v>
      </c>
      <c r="M33" t="s">
        <v>15</v>
      </c>
    </row>
    <row r="34" spans="2:13" x14ac:dyDescent="0.35">
      <c r="B34">
        <v>30</v>
      </c>
      <c r="C34">
        <v>1372</v>
      </c>
      <c r="D34" s="1">
        <v>40644</v>
      </c>
      <c r="E34" s="1">
        <v>43243</v>
      </c>
      <c r="F34" t="s">
        <v>31</v>
      </c>
      <c r="G34" t="s">
        <v>2</v>
      </c>
      <c r="H34">
        <v>2000</v>
      </c>
      <c r="I34">
        <v>800</v>
      </c>
      <c r="J34">
        <v>40</v>
      </c>
      <c r="K34">
        <f>Claim[[#This Row],[Monto de prima]]-SUM(Claim[[#This Row],[Costo el reclamo]:[Costo de delivery]])</f>
        <v>1160</v>
      </c>
      <c r="L34" t="s">
        <v>10</v>
      </c>
      <c r="M34" t="s">
        <v>16</v>
      </c>
    </row>
    <row r="35" spans="2:13" x14ac:dyDescent="0.35">
      <c r="B35">
        <v>31</v>
      </c>
      <c r="C35">
        <v>2201</v>
      </c>
      <c r="D35" s="1">
        <v>42887</v>
      </c>
      <c r="E35" s="1">
        <v>42887</v>
      </c>
      <c r="F35" t="s">
        <v>4</v>
      </c>
      <c r="G35" t="s">
        <v>2</v>
      </c>
      <c r="H35">
        <v>1000</v>
      </c>
      <c r="I35">
        <v>550</v>
      </c>
      <c r="J35">
        <v>50</v>
      </c>
      <c r="K35">
        <f>Claim[[#This Row],[Monto de prima]]-SUM(Claim[[#This Row],[Costo el reclamo]:[Costo de delivery]])</f>
        <v>400</v>
      </c>
      <c r="L35" t="s">
        <v>13</v>
      </c>
      <c r="M35" t="s">
        <v>14</v>
      </c>
    </row>
    <row r="36" spans="2:13" x14ac:dyDescent="0.35">
      <c r="B36">
        <v>32</v>
      </c>
      <c r="C36">
        <v>2124</v>
      </c>
      <c r="D36" s="1">
        <v>42351</v>
      </c>
      <c r="E36" s="1">
        <v>42736</v>
      </c>
      <c r="F36" t="s">
        <v>30</v>
      </c>
      <c r="G36" t="s">
        <v>6</v>
      </c>
      <c r="H36">
        <v>600</v>
      </c>
      <c r="I36">
        <v>200</v>
      </c>
      <c r="J36">
        <v>15</v>
      </c>
      <c r="K36">
        <f>Claim[[#This Row],[Monto de prima]]-SUM(Claim[[#This Row],[Costo el reclamo]:[Costo de delivery]])</f>
        <v>385</v>
      </c>
      <c r="L36" t="s">
        <v>8</v>
      </c>
      <c r="M36" t="s">
        <v>17</v>
      </c>
    </row>
    <row r="37" spans="2:13" x14ac:dyDescent="0.35">
      <c r="B37">
        <v>33</v>
      </c>
      <c r="C37">
        <v>3626</v>
      </c>
      <c r="D37" s="1">
        <v>41909</v>
      </c>
      <c r="E37" s="1">
        <v>41909</v>
      </c>
      <c r="F37" t="s">
        <v>4</v>
      </c>
      <c r="G37" t="s">
        <v>5</v>
      </c>
      <c r="H37">
        <v>1000</v>
      </c>
      <c r="I37">
        <v>550</v>
      </c>
      <c r="J37">
        <v>50</v>
      </c>
      <c r="K37">
        <f>Claim[[#This Row],[Monto de prima]]-SUM(Claim[[#This Row],[Costo el reclamo]:[Costo de delivery]])</f>
        <v>400</v>
      </c>
      <c r="L37" t="s">
        <v>10</v>
      </c>
      <c r="M37" t="s">
        <v>16</v>
      </c>
    </row>
    <row r="38" spans="2:13" x14ac:dyDescent="0.35">
      <c r="B38">
        <v>34</v>
      </c>
      <c r="C38">
        <v>2342</v>
      </c>
      <c r="D38" s="1">
        <v>41482</v>
      </c>
      <c r="E38" s="1">
        <v>42208</v>
      </c>
      <c r="F38" t="s">
        <v>30</v>
      </c>
      <c r="G38" t="s">
        <v>3</v>
      </c>
      <c r="H38">
        <v>600</v>
      </c>
      <c r="I38">
        <v>200</v>
      </c>
      <c r="J38">
        <v>20</v>
      </c>
      <c r="K38">
        <f>Claim[[#This Row],[Monto de prima]]-SUM(Claim[[#This Row],[Costo el reclamo]:[Costo de delivery]])</f>
        <v>380</v>
      </c>
      <c r="L38" t="s">
        <v>11</v>
      </c>
      <c r="M38" t="s">
        <v>18</v>
      </c>
    </row>
    <row r="39" spans="2:13" x14ac:dyDescent="0.35">
      <c r="B39">
        <v>35</v>
      </c>
      <c r="C39">
        <v>2639</v>
      </c>
      <c r="D39" s="1">
        <v>40432</v>
      </c>
      <c r="E39" s="1">
        <v>41934</v>
      </c>
      <c r="F39" t="s">
        <v>4</v>
      </c>
      <c r="G39" t="s">
        <v>2</v>
      </c>
      <c r="H39">
        <v>1000</v>
      </c>
      <c r="I39">
        <v>550</v>
      </c>
      <c r="J39">
        <v>50</v>
      </c>
      <c r="K39">
        <f>Claim[[#This Row],[Monto de prima]]-SUM(Claim[[#This Row],[Costo el reclamo]:[Costo de delivery]])</f>
        <v>400</v>
      </c>
      <c r="L39" t="s">
        <v>9</v>
      </c>
      <c r="M39" t="s">
        <v>15</v>
      </c>
    </row>
    <row r="40" spans="2:13" x14ac:dyDescent="0.35">
      <c r="B40">
        <v>36</v>
      </c>
      <c r="C40">
        <v>1924</v>
      </c>
      <c r="D40" s="1">
        <v>42893</v>
      </c>
      <c r="E40" s="1">
        <v>42893</v>
      </c>
      <c r="F40" t="s">
        <v>30</v>
      </c>
      <c r="G40" t="s">
        <v>3</v>
      </c>
      <c r="H40">
        <v>600</v>
      </c>
      <c r="I40">
        <v>200</v>
      </c>
      <c r="J40">
        <v>20</v>
      </c>
      <c r="K40">
        <f>Claim[[#This Row],[Monto de prima]]-SUM(Claim[[#This Row],[Costo el reclamo]:[Costo de delivery]])</f>
        <v>380</v>
      </c>
      <c r="L40" t="s">
        <v>8</v>
      </c>
      <c r="M40" t="s">
        <v>17</v>
      </c>
    </row>
    <row r="41" spans="2:13" x14ac:dyDescent="0.35">
      <c r="B41">
        <v>37</v>
      </c>
      <c r="C41">
        <v>2954</v>
      </c>
      <c r="D41" s="1">
        <v>43017</v>
      </c>
      <c r="E41" s="1">
        <v>43017</v>
      </c>
      <c r="F41" t="s">
        <v>4</v>
      </c>
      <c r="G41" t="s">
        <v>5</v>
      </c>
      <c r="H41">
        <v>1000</v>
      </c>
      <c r="I41">
        <v>550</v>
      </c>
      <c r="J41">
        <v>50</v>
      </c>
      <c r="K41">
        <f>Claim[[#This Row],[Monto de prima]]-SUM(Claim[[#This Row],[Costo el reclamo]:[Costo de delivery]])</f>
        <v>400</v>
      </c>
      <c r="L41" t="s">
        <v>13</v>
      </c>
      <c r="M41" t="s">
        <v>14</v>
      </c>
    </row>
    <row r="42" spans="2:13" x14ac:dyDescent="0.35">
      <c r="B42">
        <v>38</v>
      </c>
      <c r="C42">
        <v>1235</v>
      </c>
      <c r="D42" s="1">
        <v>41030</v>
      </c>
      <c r="E42" s="1">
        <v>42919</v>
      </c>
      <c r="F42" t="s">
        <v>4</v>
      </c>
      <c r="G42" t="s">
        <v>6</v>
      </c>
      <c r="H42">
        <v>1000</v>
      </c>
      <c r="I42">
        <v>550</v>
      </c>
      <c r="J42">
        <v>30</v>
      </c>
      <c r="K42">
        <f>Claim[[#This Row],[Monto de prima]]-SUM(Claim[[#This Row],[Costo el reclamo]:[Costo de delivery]])</f>
        <v>420</v>
      </c>
      <c r="L42" t="s">
        <v>8</v>
      </c>
      <c r="M42" t="s">
        <v>17</v>
      </c>
    </row>
    <row r="43" spans="2:13" x14ac:dyDescent="0.35">
      <c r="B43">
        <v>39</v>
      </c>
      <c r="C43">
        <v>3509</v>
      </c>
      <c r="D43" s="1">
        <v>42770</v>
      </c>
      <c r="E43" s="1">
        <v>43435</v>
      </c>
      <c r="F43" t="s">
        <v>4</v>
      </c>
      <c r="G43" t="s">
        <v>2</v>
      </c>
      <c r="H43">
        <v>1000</v>
      </c>
      <c r="I43">
        <v>550</v>
      </c>
      <c r="J43">
        <v>50</v>
      </c>
      <c r="K43">
        <f>Claim[[#This Row],[Monto de prima]]-SUM(Claim[[#This Row],[Costo el reclamo]:[Costo de delivery]])</f>
        <v>400</v>
      </c>
      <c r="L43" t="s">
        <v>11</v>
      </c>
      <c r="M43" t="s">
        <v>18</v>
      </c>
    </row>
    <row r="44" spans="2:13" x14ac:dyDescent="0.35">
      <c r="B44">
        <v>40</v>
      </c>
      <c r="C44">
        <v>3127</v>
      </c>
      <c r="D44" s="1">
        <v>41778</v>
      </c>
      <c r="E44" s="1">
        <v>42807</v>
      </c>
      <c r="F44" t="s">
        <v>1</v>
      </c>
      <c r="G44" t="s">
        <v>2</v>
      </c>
      <c r="H44">
        <v>250</v>
      </c>
      <c r="I44">
        <v>450</v>
      </c>
      <c r="J44">
        <v>30</v>
      </c>
      <c r="K44">
        <f>Claim[[#This Row],[Monto de prima]]-SUM(Claim[[#This Row],[Costo el reclamo]:[Costo de delivery]])</f>
        <v>-230</v>
      </c>
      <c r="L44" t="s">
        <v>12</v>
      </c>
      <c r="M44" t="s">
        <v>19</v>
      </c>
    </row>
    <row r="45" spans="2:13" x14ac:dyDescent="0.35">
      <c r="B45">
        <v>41</v>
      </c>
      <c r="C45">
        <v>2739</v>
      </c>
      <c r="D45" s="1">
        <v>41530</v>
      </c>
      <c r="E45" s="1">
        <v>42046</v>
      </c>
      <c r="F45" t="s">
        <v>31</v>
      </c>
      <c r="G45" t="s">
        <v>5</v>
      </c>
      <c r="H45">
        <v>2000</v>
      </c>
      <c r="I45">
        <v>800</v>
      </c>
      <c r="J45">
        <v>25</v>
      </c>
      <c r="K45">
        <f>Claim[[#This Row],[Monto de prima]]-SUM(Claim[[#This Row],[Costo el reclamo]:[Costo de delivery]])</f>
        <v>1175</v>
      </c>
      <c r="L45" t="s">
        <v>9</v>
      </c>
      <c r="M45" t="s">
        <v>15</v>
      </c>
    </row>
    <row r="46" spans="2:13" x14ac:dyDescent="0.35">
      <c r="B46">
        <v>42</v>
      </c>
      <c r="C46">
        <v>2101</v>
      </c>
      <c r="D46" s="1">
        <v>40309</v>
      </c>
      <c r="E46" s="1">
        <v>41621</v>
      </c>
      <c r="F46" t="s">
        <v>30</v>
      </c>
      <c r="G46" t="s">
        <v>5</v>
      </c>
      <c r="H46">
        <v>600</v>
      </c>
      <c r="I46">
        <v>200</v>
      </c>
      <c r="J46">
        <v>50</v>
      </c>
      <c r="K46">
        <f>Claim[[#This Row],[Monto de prima]]-SUM(Claim[[#This Row],[Costo el reclamo]:[Costo de delivery]])</f>
        <v>350</v>
      </c>
      <c r="L46" t="s">
        <v>7</v>
      </c>
      <c r="M46" t="s">
        <v>16</v>
      </c>
    </row>
    <row r="47" spans="2:13" x14ac:dyDescent="0.35">
      <c r="B47">
        <v>43</v>
      </c>
      <c r="C47">
        <v>4361</v>
      </c>
      <c r="D47" s="1">
        <v>40315</v>
      </c>
      <c r="E47" s="1">
        <v>42690</v>
      </c>
      <c r="F47" t="s">
        <v>4</v>
      </c>
      <c r="G47" t="s">
        <v>3</v>
      </c>
      <c r="H47">
        <v>1000</v>
      </c>
      <c r="I47">
        <v>550</v>
      </c>
      <c r="J47">
        <v>80</v>
      </c>
      <c r="K47">
        <f>Claim[[#This Row],[Monto de prima]]-SUM(Claim[[#This Row],[Costo el reclamo]:[Costo de delivery]])</f>
        <v>370</v>
      </c>
      <c r="L47" t="s">
        <v>11</v>
      </c>
      <c r="M47" t="s">
        <v>18</v>
      </c>
    </row>
    <row r="48" spans="2:13" x14ac:dyDescent="0.35">
      <c r="B48">
        <v>44</v>
      </c>
      <c r="C48">
        <v>2105</v>
      </c>
      <c r="D48" s="1">
        <v>42432</v>
      </c>
      <c r="E48" s="1">
        <v>42432</v>
      </c>
      <c r="F48" t="s">
        <v>31</v>
      </c>
      <c r="G48" t="s">
        <v>3</v>
      </c>
      <c r="H48">
        <v>2000</v>
      </c>
      <c r="I48">
        <v>800</v>
      </c>
      <c r="J48">
        <v>30</v>
      </c>
      <c r="K48">
        <f>Claim[[#This Row],[Monto de prima]]-SUM(Claim[[#This Row],[Costo el reclamo]:[Costo de delivery]])</f>
        <v>1170</v>
      </c>
      <c r="L48" t="s">
        <v>7</v>
      </c>
      <c r="M48" t="s">
        <v>16</v>
      </c>
    </row>
    <row r="49" spans="2:13" x14ac:dyDescent="0.35">
      <c r="B49">
        <v>45</v>
      </c>
      <c r="C49">
        <v>2982</v>
      </c>
      <c r="D49" s="1">
        <v>41772</v>
      </c>
      <c r="E49" s="1">
        <v>41772</v>
      </c>
      <c r="F49" t="s">
        <v>1</v>
      </c>
      <c r="G49" t="s">
        <v>3</v>
      </c>
      <c r="H49">
        <v>250</v>
      </c>
      <c r="I49">
        <v>450</v>
      </c>
      <c r="J49">
        <v>80</v>
      </c>
      <c r="K49">
        <f>Claim[[#This Row],[Monto de prima]]-SUM(Claim[[#This Row],[Costo el reclamo]:[Costo de delivery]])</f>
        <v>-280</v>
      </c>
      <c r="L49" t="s">
        <v>7</v>
      </c>
      <c r="M49" t="s">
        <v>16</v>
      </c>
    </row>
    <row r="50" spans="2:13" x14ac:dyDescent="0.35">
      <c r="B50">
        <v>46</v>
      </c>
      <c r="C50">
        <v>3323</v>
      </c>
      <c r="D50" s="1">
        <v>43214</v>
      </c>
      <c r="E50" s="1">
        <v>43214</v>
      </c>
      <c r="F50" t="s">
        <v>1</v>
      </c>
      <c r="G50" t="s">
        <v>6</v>
      </c>
      <c r="H50">
        <v>250</v>
      </c>
      <c r="I50">
        <v>450</v>
      </c>
      <c r="J50">
        <v>50</v>
      </c>
      <c r="K50">
        <f>Claim[[#This Row],[Monto de prima]]-SUM(Claim[[#This Row],[Costo el reclamo]:[Costo de delivery]])</f>
        <v>-250</v>
      </c>
      <c r="L50" t="s">
        <v>9</v>
      </c>
      <c r="M50" t="s">
        <v>15</v>
      </c>
    </row>
    <row r="51" spans="2:13" x14ac:dyDescent="0.35">
      <c r="B51">
        <v>47</v>
      </c>
      <c r="C51">
        <v>4044</v>
      </c>
      <c r="D51" s="1">
        <v>40396</v>
      </c>
      <c r="E51" s="1">
        <v>42376</v>
      </c>
      <c r="F51" t="s">
        <v>30</v>
      </c>
      <c r="G51" t="s">
        <v>3</v>
      </c>
      <c r="H51">
        <v>600</v>
      </c>
      <c r="I51">
        <v>200</v>
      </c>
      <c r="J51">
        <v>20</v>
      </c>
      <c r="K51">
        <f>Claim[[#This Row],[Monto de prima]]-SUM(Claim[[#This Row],[Costo el reclamo]:[Costo de delivery]])</f>
        <v>380</v>
      </c>
      <c r="L51" t="s">
        <v>13</v>
      </c>
      <c r="M51" t="s">
        <v>14</v>
      </c>
    </row>
    <row r="52" spans="2:13" x14ac:dyDescent="0.35">
      <c r="B52">
        <v>48</v>
      </c>
      <c r="C52">
        <v>3368</v>
      </c>
      <c r="D52" s="1">
        <v>41122</v>
      </c>
      <c r="E52" s="1">
        <v>42918</v>
      </c>
      <c r="F52" t="s">
        <v>1</v>
      </c>
      <c r="G52" t="s">
        <v>2</v>
      </c>
      <c r="H52">
        <v>250</v>
      </c>
      <c r="I52">
        <v>450</v>
      </c>
      <c r="J52">
        <v>30</v>
      </c>
      <c r="K52">
        <f>Claim[[#This Row],[Monto de prima]]-SUM(Claim[[#This Row],[Costo el reclamo]:[Costo de delivery]])</f>
        <v>-230</v>
      </c>
      <c r="L52" t="s">
        <v>7</v>
      </c>
      <c r="M52" t="s">
        <v>16</v>
      </c>
    </row>
    <row r="53" spans="2:13" x14ac:dyDescent="0.35">
      <c r="B53">
        <v>49</v>
      </c>
      <c r="C53">
        <v>2719</v>
      </c>
      <c r="D53" s="1">
        <v>41967</v>
      </c>
      <c r="E53" s="1">
        <v>41967</v>
      </c>
      <c r="F53" t="s">
        <v>1</v>
      </c>
      <c r="G53" t="s">
        <v>3</v>
      </c>
      <c r="H53">
        <v>250</v>
      </c>
      <c r="I53">
        <v>450</v>
      </c>
      <c r="J53">
        <v>80</v>
      </c>
      <c r="K53">
        <f>Claim[[#This Row],[Monto de prima]]-SUM(Claim[[#This Row],[Costo el reclamo]:[Costo de delivery]])</f>
        <v>-280</v>
      </c>
      <c r="L53" t="s">
        <v>10</v>
      </c>
      <c r="M53" t="s">
        <v>16</v>
      </c>
    </row>
    <row r="54" spans="2:13" x14ac:dyDescent="0.35">
      <c r="B54">
        <v>50</v>
      </c>
      <c r="C54">
        <v>2732</v>
      </c>
      <c r="D54" s="1">
        <v>43145</v>
      </c>
      <c r="E54" s="1">
        <v>43521</v>
      </c>
      <c r="F54" t="s">
        <v>4</v>
      </c>
      <c r="G54" t="s">
        <v>2</v>
      </c>
      <c r="H54">
        <v>1000</v>
      </c>
      <c r="I54">
        <v>550</v>
      </c>
      <c r="J54">
        <v>50</v>
      </c>
      <c r="K54">
        <f>Claim[[#This Row],[Monto de prima]]-SUM(Claim[[#This Row],[Costo el reclamo]:[Costo de delivery]])</f>
        <v>400</v>
      </c>
      <c r="L54" t="s">
        <v>12</v>
      </c>
      <c r="M54" t="s">
        <v>19</v>
      </c>
    </row>
    <row r="55" spans="2:13" x14ac:dyDescent="0.35">
      <c r="B55">
        <v>51</v>
      </c>
      <c r="C55">
        <v>2172</v>
      </c>
      <c r="D55" s="1">
        <v>41503</v>
      </c>
      <c r="E55" s="1">
        <v>42031</v>
      </c>
      <c r="F55" t="s">
        <v>4</v>
      </c>
      <c r="G55" t="s">
        <v>2</v>
      </c>
      <c r="H55">
        <v>1000</v>
      </c>
      <c r="I55">
        <v>550</v>
      </c>
      <c r="J55">
        <v>50</v>
      </c>
      <c r="K55">
        <f>Claim[[#This Row],[Monto de prima]]-SUM(Claim[[#This Row],[Costo el reclamo]:[Costo de delivery]])</f>
        <v>400</v>
      </c>
      <c r="L55" t="s">
        <v>11</v>
      </c>
      <c r="M55" t="s">
        <v>18</v>
      </c>
    </row>
    <row r="56" spans="2:13" x14ac:dyDescent="0.35">
      <c r="B56">
        <v>52</v>
      </c>
      <c r="C56">
        <v>2483</v>
      </c>
      <c r="D56" s="1">
        <v>42523</v>
      </c>
      <c r="E56" s="1">
        <v>42523</v>
      </c>
      <c r="F56" t="s">
        <v>4</v>
      </c>
      <c r="G56" t="s">
        <v>5</v>
      </c>
      <c r="H56">
        <v>1000</v>
      </c>
      <c r="I56">
        <v>550</v>
      </c>
      <c r="J56">
        <v>50</v>
      </c>
      <c r="K56">
        <f>Claim[[#This Row],[Monto de prima]]-SUM(Claim[[#This Row],[Costo el reclamo]:[Costo de delivery]])</f>
        <v>400</v>
      </c>
      <c r="L56" t="s">
        <v>8</v>
      </c>
      <c r="M56" t="s">
        <v>17</v>
      </c>
    </row>
    <row r="57" spans="2:13" x14ac:dyDescent="0.35">
      <c r="B57">
        <v>53</v>
      </c>
      <c r="C57">
        <v>1532</v>
      </c>
      <c r="D57" s="1">
        <v>42479</v>
      </c>
      <c r="E57" s="1">
        <v>42479</v>
      </c>
      <c r="F57" t="s">
        <v>30</v>
      </c>
      <c r="G57" t="s">
        <v>5</v>
      </c>
      <c r="H57">
        <v>600</v>
      </c>
      <c r="I57">
        <v>200</v>
      </c>
      <c r="J57">
        <v>50</v>
      </c>
      <c r="K57">
        <f>Claim[[#This Row],[Monto de prima]]-SUM(Claim[[#This Row],[Costo el reclamo]:[Costo de delivery]])</f>
        <v>350</v>
      </c>
      <c r="L57" t="s">
        <v>12</v>
      </c>
      <c r="M57" t="s">
        <v>19</v>
      </c>
    </row>
    <row r="58" spans="2:13" x14ac:dyDescent="0.35">
      <c r="B58">
        <v>54</v>
      </c>
      <c r="C58">
        <v>4959</v>
      </c>
      <c r="D58" s="1">
        <v>42716</v>
      </c>
      <c r="E58" s="1">
        <v>42958</v>
      </c>
      <c r="F58" t="s">
        <v>4</v>
      </c>
      <c r="G58" t="s">
        <v>3</v>
      </c>
      <c r="H58">
        <v>1000</v>
      </c>
      <c r="I58">
        <v>550</v>
      </c>
      <c r="J58">
        <v>80</v>
      </c>
      <c r="K58">
        <f>Claim[[#This Row],[Monto de prima]]-SUM(Claim[[#This Row],[Costo el reclamo]:[Costo de delivery]])</f>
        <v>370</v>
      </c>
      <c r="L58" t="s">
        <v>13</v>
      </c>
      <c r="M58" t="s">
        <v>14</v>
      </c>
    </row>
    <row r="59" spans="2:13" x14ac:dyDescent="0.35">
      <c r="B59">
        <v>55</v>
      </c>
      <c r="C59">
        <v>4128</v>
      </c>
      <c r="D59" s="1">
        <v>42965</v>
      </c>
      <c r="E59" s="1">
        <v>43649</v>
      </c>
      <c r="F59" t="s">
        <v>4</v>
      </c>
      <c r="G59" t="s">
        <v>5</v>
      </c>
      <c r="H59">
        <v>1000</v>
      </c>
      <c r="I59">
        <v>550</v>
      </c>
      <c r="J59">
        <v>50</v>
      </c>
      <c r="K59">
        <f>Claim[[#This Row],[Monto de prima]]-SUM(Claim[[#This Row],[Costo el reclamo]:[Costo de delivery]])</f>
        <v>400</v>
      </c>
      <c r="L59" t="s">
        <v>11</v>
      </c>
      <c r="M59" t="s">
        <v>18</v>
      </c>
    </row>
    <row r="60" spans="2:13" x14ac:dyDescent="0.35">
      <c r="B60">
        <v>56</v>
      </c>
      <c r="C60">
        <v>2600</v>
      </c>
      <c r="D60" s="1">
        <v>42424</v>
      </c>
      <c r="E60" s="1">
        <v>42424</v>
      </c>
      <c r="F60" t="s">
        <v>31</v>
      </c>
      <c r="G60" t="s">
        <v>5</v>
      </c>
      <c r="H60">
        <v>2000</v>
      </c>
      <c r="I60">
        <v>800</v>
      </c>
      <c r="J60">
        <v>25</v>
      </c>
      <c r="K60">
        <f>Claim[[#This Row],[Monto de prima]]-SUM(Claim[[#This Row],[Costo el reclamo]:[Costo de delivery]])</f>
        <v>1175</v>
      </c>
      <c r="L60" t="s">
        <v>11</v>
      </c>
      <c r="M60" t="s">
        <v>18</v>
      </c>
    </row>
    <row r="61" spans="2:13" x14ac:dyDescent="0.35">
      <c r="B61">
        <v>57</v>
      </c>
      <c r="C61">
        <v>1243</v>
      </c>
      <c r="D61" s="1">
        <v>41250</v>
      </c>
      <c r="E61" s="1">
        <v>42447</v>
      </c>
      <c r="F61" t="s">
        <v>31</v>
      </c>
      <c r="G61" t="s">
        <v>2</v>
      </c>
      <c r="H61">
        <v>2000</v>
      </c>
      <c r="I61">
        <v>800</v>
      </c>
      <c r="J61">
        <v>40</v>
      </c>
      <c r="K61">
        <f>Claim[[#This Row],[Monto de prima]]-SUM(Claim[[#This Row],[Costo el reclamo]:[Costo de delivery]])</f>
        <v>1160</v>
      </c>
      <c r="L61" t="s">
        <v>11</v>
      </c>
      <c r="M61" t="s">
        <v>18</v>
      </c>
    </row>
    <row r="62" spans="2:13" x14ac:dyDescent="0.35">
      <c r="B62">
        <v>58</v>
      </c>
      <c r="C62">
        <v>3931</v>
      </c>
      <c r="D62" s="1">
        <v>40409</v>
      </c>
      <c r="E62" s="1">
        <v>41668</v>
      </c>
      <c r="F62" t="s">
        <v>31</v>
      </c>
      <c r="G62" t="s">
        <v>2</v>
      </c>
      <c r="H62">
        <v>2000</v>
      </c>
      <c r="I62">
        <v>800</v>
      </c>
      <c r="J62">
        <v>40</v>
      </c>
      <c r="K62">
        <f>Claim[[#This Row],[Monto de prima]]-SUM(Claim[[#This Row],[Costo el reclamo]:[Costo de delivery]])</f>
        <v>1160</v>
      </c>
      <c r="L62" t="s">
        <v>7</v>
      </c>
      <c r="M62" t="s">
        <v>16</v>
      </c>
    </row>
    <row r="63" spans="2:13" x14ac:dyDescent="0.35">
      <c r="B63">
        <v>59</v>
      </c>
      <c r="C63">
        <v>4847</v>
      </c>
      <c r="D63" s="1">
        <v>41530</v>
      </c>
      <c r="E63" s="1">
        <v>41530</v>
      </c>
      <c r="F63" t="s">
        <v>31</v>
      </c>
      <c r="G63" t="s">
        <v>3</v>
      </c>
      <c r="H63">
        <v>2000</v>
      </c>
      <c r="I63">
        <v>800</v>
      </c>
      <c r="J63">
        <v>30</v>
      </c>
      <c r="K63">
        <f>Claim[[#This Row],[Monto de prima]]-SUM(Claim[[#This Row],[Costo el reclamo]:[Costo de delivery]])</f>
        <v>1170</v>
      </c>
      <c r="L63" t="s">
        <v>13</v>
      </c>
      <c r="M63" t="s">
        <v>14</v>
      </c>
    </row>
    <row r="64" spans="2:13" x14ac:dyDescent="0.35">
      <c r="B64">
        <v>60</v>
      </c>
      <c r="C64">
        <v>2114</v>
      </c>
      <c r="D64" s="1">
        <v>42574</v>
      </c>
      <c r="E64" s="1">
        <v>43475</v>
      </c>
      <c r="F64" t="s">
        <v>31</v>
      </c>
      <c r="G64" t="s">
        <v>3</v>
      </c>
      <c r="H64">
        <v>2000</v>
      </c>
      <c r="I64">
        <v>800</v>
      </c>
      <c r="J64">
        <v>30</v>
      </c>
      <c r="K64">
        <f>Claim[[#This Row],[Monto de prima]]-SUM(Claim[[#This Row],[Costo el reclamo]:[Costo de delivery]])</f>
        <v>1170</v>
      </c>
      <c r="L64" t="s">
        <v>13</v>
      </c>
      <c r="M64" t="s">
        <v>14</v>
      </c>
    </row>
    <row r="65" spans="2:13" x14ac:dyDescent="0.35">
      <c r="B65">
        <v>61</v>
      </c>
      <c r="C65">
        <v>2408</v>
      </c>
      <c r="D65" s="1">
        <v>40977</v>
      </c>
      <c r="E65" s="1">
        <v>41908</v>
      </c>
      <c r="F65" t="s">
        <v>4</v>
      </c>
      <c r="G65" t="s">
        <v>3</v>
      </c>
      <c r="H65">
        <v>1000</v>
      </c>
      <c r="I65">
        <v>550</v>
      </c>
      <c r="J65">
        <v>80</v>
      </c>
      <c r="K65">
        <f>Claim[[#This Row],[Monto de prima]]-SUM(Claim[[#This Row],[Costo el reclamo]:[Costo de delivery]])</f>
        <v>370</v>
      </c>
      <c r="L65" t="s">
        <v>12</v>
      </c>
      <c r="M65" t="s">
        <v>19</v>
      </c>
    </row>
    <row r="66" spans="2:13" x14ac:dyDescent="0.35">
      <c r="B66">
        <v>62</v>
      </c>
      <c r="C66">
        <v>2623</v>
      </c>
      <c r="D66" s="1">
        <v>40517</v>
      </c>
      <c r="E66" s="1">
        <v>43174</v>
      </c>
      <c r="F66" t="s">
        <v>31</v>
      </c>
      <c r="G66" t="s">
        <v>3</v>
      </c>
      <c r="H66">
        <v>2000</v>
      </c>
      <c r="I66">
        <v>800</v>
      </c>
      <c r="J66">
        <v>30</v>
      </c>
      <c r="K66">
        <f>Claim[[#This Row],[Monto de prima]]-SUM(Claim[[#This Row],[Costo el reclamo]:[Costo de delivery]])</f>
        <v>1170</v>
      </c>
      <c r="L66" t="s">
        <v>7</v>
      </c>
      <c r="M66" t="s">
        <v>16</v>
      </c>
    </row>
    <row r="67" spans="2:13" x14ac:dyDescent="0.35">
      <c r="B67">
        <v>63</v>
      </c>
      <c r="C67">
        <v>3943</v>
      </c>
      <c r="D67" s="1">
        <v>41383</v>
      </c>
      <c r="E67" s="1">
        <v>42077</v>
      </c>
      <c r="F67" t="s">
        <v>1</v>
      </c>
      <c r="G67" t="s">
        <v>3</v>
      </c>
      <c r="H67">
        <v>250</v>
      </c>
      <c r="I67">
        <v>450</v>
      </c>
      <c r="J67">
        <v>80</v>
      </c>
      <c r="K67">
        <f>Claim[[#This Row],[Monto de prima]]-SUM(Claim[[#This Row],[Costo el reclamo]:[Costo de delivery]])</f>
        <v>-280</v>
      </c>
      <c r="L67" t="s">
        <v>10</v>
      </c>
      <c r="M67" t="s">
        <v>16</v>
      </c>
    </row>
    <row r="68" spans="2:13" x14ac:dyDescent="0.35">
      <c r="B68">
        <v>64</v>
      </c>
      <c r="C68">
        <v>4843</v>
      </c>
      <c r="D68" s="1">
        <v>42698</v>
      </c>
      <c r="E68" s="1">
        <v>42698</v>
      </c>
      <c r="F68" t="s">
        <v>31</v>
      </c>
      <c r="G68" t="s">
        <v>5</v>
      </c>
      <c r="H68">
        <v>2000</v>
      </c>
      <c r="I68">
        <v>800</v>
      </c>
      <c r="J68">
        <v>25</v>
      </c>
      <c r="K68">
        <f>Claim[[#This Row],[Monto de prima]]-SUM(Claim[[#This Row],[Costo el reclamo]:[Costo de delivery]])</f>
        <v>1175</v>
      </c>
      <c r="L68" t="s">
        <v>7</v>
      </c>
      <c r="M68" t="s">
        <v>16</v>
      </c>
    </row>
    <row r="69" spans="2:13" x14ac:dyDescent="0.35">
      <c r="B69">
        <v>65</v>
      </c>
      <c r="C69">
        <v>2747</v>
      </c>
      <c r="D69" s="1">
        <v>41803</v>
      </c>
      <c r="E69" s="1">
        <v>41803</v>
      </c>
      <c r="F69" t="s">
        <v>30</v>
      </c>
      <c r="G69" t="s">
        <v>5</v>
      </c>
      <c r="H69">
        <v>600</v>
      </c>
      <c r="I69">
        <v>200</v>
      </c>
      <c r="J69">
        <v>50</v>
      </c>
      <c r="K69">
        <f>Claim[[#This Row],[Monto de prima]]-SUM(Claim[[#This Row],[Costo el reclamo]:[Costo de delivery]])</f>
        <v>350</v>
      </c>
      <c r="L69" t="s">
        <v>13</v>
      </c>
      <c r="M69" t="s">
        <v>14</v>
      </c>
    </row>
    <row r="70" spans="2:13" x14ac:dyDescent="0.35">
      <c r="B70">
        <v>66</v>
      </c>
      <c r="C70">
        <v>4293</v>
      </c>
      <c r="D70" s="1">
        <v>42908</v>
      </c>
      <c r="E70" s="1">
        <v>43450</v>
      </c>
      <c r="F70" t="s">
        <v>31</v>
      </c>
      <c r="G70" t="s">
        <v>6</v>
      </c>
      <c r="H70">
        <v>2000</v>
      </c>
      <c r="I70">
        <v>800</v>
      </c>
      <c r="J70">
        <v>20</v>
      </c>
      <c r="K70">
        <f>Claim[[#This Row],[Monto de prima]]-SUM(Claim[[#This Row],[Costo el reclamo]:[Costo de delivery]])</f>
        <v>1180</v>
      </c>
      <c r="L70" t="s">
        <v>10</v>
      </c>
      <c r="M70" t="s">
        <v>16</v>
      </c>
    </row>
    <row r="71" spans="2:13" x14ac:dyDescent="0.35">
      <c r="B71">
        <v>67</v>
      </c>
      <c r="C71">
        <v>1798</v>
      </c>
      <c r="D71" s="1">
        <v>42019</v>
      </c>
      <c r="E71" s="1">
        <v>42019</v>
      </c>
      <c r="F71" t="s">
        <v>4</v>
      </c>
      <c r="G71" t="s">
        <v>3</v>
      </c>
      <c r="H71">
        <v>1000</v>
      </c>
      <c r="I71">
        <v>550</v>
      </c>
      <c r="J71">
        <v>80</v>
      </c>
      <c r="K71">
        <f>Claim[[#This Row],[Monto de prima]]-SUM(Claim[[#This Row],[Costo el reclamo]:[Costo de delivery]])</f>
        <v>370</v>
      </c>
      <c r="L71" t="s">
        <v>7</v>
      </c>
      <c r="M71" t="s">
        <v>16</v>
      </c>
    </row>
    <row r="72" spans="2:13" x14ac:dyDescent="0.35">
      <c r="B72">
        <v>68</v>
      </c>
      <c r="C72">
        <v>4129</v>
      </c>
      <c r="D72" s="1">
        <v>41092</v>
      </c>
      <c r="E72" s="1">
        <v>41487</v>
      </c>
      <c r="F72" t="s">
        <v>4</v>
      </c>
      <c r="G72" t="s">
        <v>2</v>
      </c>
      <c r="H72">
        <v>1000</v>
      </c>
      <c r="I72">
        <v>550</v>
      </c>
      <c r="J72">
        <v>50</v>
      </c>
      <c r="K72">
        <f>Claim[[#This Row],[Monto de prima]]-SUM(Claim[[#This Row],[Costo el reclamo]:[Costo de delivery]])</f>
        <v>400</v>
      </c>
      <c r="L72" t="s">
        <v>12</v>
      </c>
      <c r="M72" t="s">
        <v>19</v>
      </c>
    </row>
    <row r="73" spans="2:13" x14ac:dyDescent="0.35">
      <c r="B73">
        <v>69</v>
      </c>
      <c r="C73">
        <v>1949</v>
      </c>
      <c r="D73" s="1">
        <v>43186</v>
      </c>
      <c r="E73" s="1">
        <v>43186</v>
      </c>
      <c r="F73" t="s">
        <v>4</v>
      </c>
      <c r="G73" t="s">
        <v>3</v>
      </c>
      <c r="H73">
        <v>1000</v>
      </c>
      <c r="I73">
        <v>550</v>
      </c>
      <c r="J73">
        <v>80</v>
      </c>
      <c r="K73">
        <f>Claim[[#This Row],[Monto de prima]]-SUM(Claim[[#This Row],[Costo el reclamo]:[Costo de delivery]])</f>
        <v>370</v>
      </c>
      <c r="L73" t="s">
        <v>8</v>
      </c>
      <c r="M73" t="s">
        <v>17</v>
      </c>
    </row>
    <row r="74" spans="2:13" x14ac:dyDescent="0.35">
      <c r="B74">
        <v>70</v>
      </c>
      <c r="C74">
        <v>4894</v>
      </c>
      <c r="D74" s="1">
        <v>41190</v>
      </c>
      <c r="E74" s="1">
        <v>42387</v>
      </c>
      <c r="F74" t="s">
        <v>1</v>
      </c>
      <c r="G74" t="s">
        <v>6</v>
      </c>
      <c r="H74">
        <v>250</v>
      </c>
      <c r="I74">
        <v>450</v>
      </c>
      <c r="J74">
        <v>50</v>
      </c>
      <c r="K74">
        <f>Claim[[#This Row],[Monto de prima]]-SUM(Claim[[#This Row],[Costo el reclamo]:[Costo de delivery]])</f>
        <v>-250</v>
      </c>
      <c r="L74" t="s">
        <v>10</v>
      </c>
      <c r="M74" t="s">
        <v>16</v>
      </c>
    </row>
    <row r="75" spans="2:13" x14ac:dyDescent="0.35">
      <c r="B75">
        <v>71</v>
      </c>
      <c r="C75">
        <v>2568</v>
      </c>
      <c r="D75" s="1">
        <v>42575</v>
      </c>
      <c r="E75" s="1">
        <v>43259</v>
      </c>
      <c r="F75" t="s">
        <v>30</v>
      </c>
      <c r="G75" t="s">
        <v>2</v>
      </c>
      <c r="H75">
        <v>600</v>
      </c>
      <c r="I75">
        <v>200</v>
      </c>
      <c r="J75">
        <v>35</v>
      </c>
      <c r="K75">
        <f>Claim[[#This Row],[Monto de prima]]-SUM(Claim[[#This Row],[Costo el reclamo]:[Costo de delivery]])</f>
        <v>365</v>
      </c>
      <c r="L75" t="s">
        <v>13</v>
      </c>
      <c r="M75" t="s">
        <v>14</v>
      </c>
    </row>
    <row r="76" spans="2:13" x14ac:dyDescent="0.35">
      <c r="B76">
        <v>72</v>
      </c>
      <c r="C76">
        <v>2058</v>
      </c>
      <c r="D76" s="1">
        <v>42279</v>
      </c>
      <c r="E76" s="1">
        <v>42691</v>
      </c>
      <c r="F76" t="s">
        <v>30</v>
      </c>
      <c r="G76" t="s">
        <v>6</v>
      </c>
      <c r="H76">
        <v>600</v>
      </c>
      <c r="I76">
        <v>200</v>
      </c>
      <c r="J76">
        <v>15</v>
      </c>
      <c r="K76">
        <f>Claim[[#This Row],[Monto de prima]]-SUM(Claim[[#This Row],[Costo el reclamo]:[Costo de delivery]])</f>
        <v>385</v>
      </c>
      <c r="L76" t="s">
        <v>10</v>
      </c>
      <c r="M76" t="s">
        <v>16</v>
      </c>
    </row>
    <row r="77" spans="2:13" x14ac:dyDescent="0.35">
      <c r="B77">
        <v>73</v>
      </c>
      <c r="C77">
        <v>1978</v>
      </c>
      <c r="D77" s="1">
        <v>40332</v>
      </c>
      <c r="E77" s="1">
        <v>41718</v>
      </c>
      <c r="F77" t="s">
        <v>31</v>
      </c>
      <c r="G77" t="s">
        <v>5</v>
      </c>
      <c r="H77">
        <v>2000</v>
      </c>
      <c r="I77">
        <v>800</v>
      </c>
      <c r="J77">
        <v>25</v>
      </c>
      <c r="K77">
        <f>Claim[[#This Row],[Monto de prima]]-SUM(Claim[[#This Row],[Costo el reclamo]:[Costo de delivery]])</f>
        <v>1175</v>
      </c>
      <c r="L77" t="s">
        <v>9</v>
      </c>
      <c r="M77" t="s">
        <v>15</v>
      </c>
    </row>
    <row r="78" spans="2:13" x14ac:dyDescent="0.35">
      <c r="B78">
        <v>74</v>
      </c>
      <c r="C78">
        <v>1099</v>
      </c>
      <c r="D78" s="1">
        <v>40902</v>
      </c>
      <c r="E78" s="1">
        <v>42544</v>
      </c>
      <c r="F78" t="s">
        <v>31</v>
      </c>
      <c r="G78" t="s">
        <v>3</v>
      </c>
      <c r="H78">
        <v>2000</v>
      </c>
      <c r="I78">
        <v>800</v>
      </c>
      <c r="J78">
        <v>30</v>
      </c>
      <c r="K78">
        <f>Claim[[#This Row],[Monto de prima]]-SUM(Claim[[#This Row],[Costo el reclamo]:[Costo de delivery]])</f>
        <v>1170</v>
      </c>
      <c r="L78" t="s">
        <v>11</v>
      </c>
      <c r="M78" t="s">
        <v>18</v>
      </c>
    </row>
    <row r="79" spans="2:13" x14ac:dyDescent="0.35">
      <c r="B79">
        <v>75</v>
      </c>
      <c r="C79">
        <v>4459</v>
      </c>
      <c r="D79" s="1">
        <v>43191</v>
      </c>
      <c r="E79" s="1">
        <v>43222</v>
      </c>
      <c r="F79" t="s">
        <v>1</v>
      </c>
      <c r="G79" t="s">
        <v>5</v>
      </c>
      <c r="H79">
        <v>250</v>
      </c>
      <c r="I79">
        <v>450</v>
      </c>
      <c r="J79">
        <v>100</v>
      </c>
      <c r="K79">
        <f>Claim[[#This Row],[Monto de prima]]-SUM(Claim[[#This Row],[Costo el reclamo]:[Costo de delivery]])</f>
        <v>-300</v>
      </c>
      <c r="L79" t="s">
        <v>7</v>
      </c>
      <c r="M79" t="s">
        <v>16</v>
      </c>
    </row>
    <row r="80" spans="2:13" x14ac:dyDescent="0.35">
      <c r="B80">
        <v>76</v>
      </c>
      <c r="C80">
        <v>4049</v>
      </c>
      <c r="D80" s="1">
        <v>40433</v>
      </c>
      <c r="E80" s="1">
        <v>43271</v>
      </c>
      <c r="F80" t="s">
        <v>30</v>
      </c>
      <c r="G80" t="s">
        <v>3</v>
      </c>
      <c r="H80">
        <v>600</v>
      </c>
      <c r="I80">
        <v>200</v>
      </c>
      <c r="J80">
        <v>20</v>
      </c>
      <c r="K80">
        <f>Claim[[#This Row],[Monto de prima]]-SUM(Claim[[#This Row],[Costo el reclamo]:[Costo de delivery]])</f>
        <v>380</v>
      </c>
      <c r="L80" t="s">
        <v>13</v>
      </c>
      <c r="M80" t="s">
        <v>14</v>
      </c>
    </row>
    <row r="81" spans="2:13" x14ac:dyDescent="0.35">
      <c r="B81">
        <v>77</v>
      </c>
      <c r="C81">
        <v>2891</v>
      </c>
      <c r="D81" s="1">
        <v>42986</v>
      </c>
      <c r="E81" s="1">
        <v>42986</v>
      </c>
      <c r="F81" t="s">
        <v>31</v>
      </c>
      <c r="G81" t="s">
        <v>6</v>
      </c>
      <c r="H81">
        <v>2000</v>
      </c>
      <c r="I81">
        <v>800</v>
      </c>
      <c r="J81">
        <v>20</v>
      </c>
      <c r="K81">
        <f>Claim[[#This Row],[Monto de prima]]-SUM(Claim[[#This Row],[Costo el reclamo]:[Costo de delivery]])</f>
        <v>1180</v>
      </c>
      <c r="L81" t="s">
        <v>12</v>
      </c>
      <c r="M81" t="s">
        <v>19</v>
      </c>
    </row>
    <row r="82" spans="2:13" x14ac:dyDescent="0.35">
      <c r="B82">
        <v>78</v>
      </c>
      <c r="C82">
        <v>2502</v>
      </c>
      <c r="D82" s="1">
        <v>42227</v>
      </c>
      <c r="E82" s="1">
        <v>42845</v>
      </c>
      <c r="F82" t="s">
        <v>31</v>
      </c>
      <c r="G82" t="s">
        <v>3</v>
      </c>
      <c r="H82">
        <v>2000</v>
      </c>
      <c r="I82">
        <v>800</v>
      </c>
      <c r="J82">
        <v>30</v>
      </c>
      <c r="K82">
        <f>Claim[[#This Row],[Monto de prima]]-SUM(Claim[[#This Row],[Costo el reclamo]:[Costo de delivery]])</f>
        <v>1170</v>
      </c>
      <c r="L82" t="s">
        <v>12</v>
      </c>
      <c r="M82" t="s">
        <v>19</v>
      </c>
    </row>
    <row r="83" spans="2:13" x14ac:dyDescent="0.35">
      <c r="B83">
        <v>79</v>
      </c>
      <c r="C83">
        <v>3363</v>
      </c>
      <c r="D83" s="1">
        <v>42077</v>
      </c>
      <c r="E83" s="1">
        <v>43301</v>
      </c>
      <c r="F83" t="s">
        <v>31</v>
      </c>
      <c r="G83" t="s">
        <v>6</v>
      </c>
      <c r="H83">
        <v>2000</v>
      </c>
      <c r="I83">
        <v>800</v>
      </c>
      <c r="J83">
        <v>20</v>
      </c>
      <c r="K83">
        <f>Claim[[#This Row],[Monto de prima]]-SUM(Claim[[#This Row],[Costo el reclamo]:[Costo de delivery]])</f>
        <v>1180</v>
      </c>
      <c r="L83" t="s">
        <v>10</v>
      </c>
      <c r="M83" t="s">
        <v>16</v>
      </c>
    </row>
    <row r="84" spans="2:13" x14ac:dyDescent="0.35">
      <c r="B84">
        <v>80</v>
      </c>
      <c r="C84">
        <v>3361</v>
      </c>
      <c r="D84" s="1">
        <v>42049</v>
      </c>
      <c r="E84" s="1">
        <v>42482</v>
      </c>
      <c r="F84" t="s">
        <v>31</v>
      </c>
      <c r="G84" t="s">
        <v>2</v>
      </c>
      <c r="H84">
        <v>2000</v>
      </c>
      <c r="I84">
        <v>800</v>
      </c>
      <c r="J84">
        <v>40</v>
      </c>
      <c r="K84">
        <f>Claim[[#This Row],[Monto de prima]]-SUM(Claim[[#This Row],[Costo el reclamo]:[Costo de delivery]])</f>
        <v>1160</v>
      </c>
      <c r="L84" t="s">
        <v>7</v>
      </c>
      <c r="M84" t="s">
        <v>16</v>
      </c>
    </row>
    <row r="85" spans="2:13" x14ac:dyDescent="0.35">
      <c r="B85">
        <v>81</v>
      </c>
      <c r="C85">
        <v>2946</v>
      </c>
      <c r="D85" s="1">
        <v>42818</v>
      </c>
      <c r="E85" s="1">
        <v>42818</v>
      </c>
      <c r="F85" t="s">
        <v>4</v>
      </c>
      <c r="G85" t="s">
        <v>5</v>
      </c>
      <c r="H85">
        <v>1000</v>
      </c>
      <c r="I85">
        <v>550</v>
      </c>
      <c r="J85">
        <v>50</v>
      </c>
      <c r="K85">
        <f>Claim[[#This Row],[Monto de prima]]-SUM(Claim[[#This Row],[Costo el reclamo]:[Costo de delivery]])</f>
        <v>400</v>
      </c>
      <c r="L85" t="s">
        <v>8</v>
      </c>
      <c r="M85" t="s">
        <v>17</v>
      </c>
    </row>
    <row r="86" spans="2:13" x14ac:dyDescent="0.35">
      <c r="B86">
        <v>82</v>
      </c>
      <c r="C86">
        <v>1433</v>
      </c>
      <c r="D86" s="1">
        <v>40860</v>
      </c>
      <c r="E86" s="1">
        <v>43443</v>
      </c>
      <c r="F86" t="s">
        <v>31</v>
      </c>
      <c r="G86" t="s">
        <v>2</v>
      </c>
      <c r="H86">
        <v>2000</v>
      </c>
      <c r="I86">
        <v>800</v>
      </c>
      <c r="J86">
        <v>40</v>
      </c>
      <c r="K86">
        <f>Claim[[#This Row],[Monto de prima]]-SUM(Claim[[#This Row],[Costo el reclamo]:[Costo de delivery]])</f>
        <v>1160</v>
      </c>
      <c r="L86" t="s">
        <v>13</v>
      </c>
      <c r="M86" t="s">
        <v>14</v>
      </c>
    </row>
    <row r="87" spans="2:13" x14ac:dyDescent="0.35">
      <c r="B87">
        <v>83</v>
      </c>
      <c r="C87">
        <v>2091</v>
      </c>
      <c r="D87" s="1">
        <v>40904</v>
      </c>
      <c r="E87" s="1">
        <v>43477</v>
      </c>
      <c r="F87" t="s">
        <v>30</v>
      </c>
      <c r="G87" t="s">
        <v>5</v>
      </c>
      <c r="H87">
        <v>600</v>
      </c>
      <c r="I87">
        <v>200</v>
      </c>
      <c r="J87">
        <v>50</v>
      </c>
      <c r="K87">
        <f>Claim[[#This Row],[Monto de prima]]-SUM(Claim[[#This Row],[Costo el reclamo]:[Costo de delivery]])</f>
        <v>350</v>
      </c>
      <c r="L87" t="s">
        <v>8</v>
      </c>
      <c r="M87" t="s">
        <v>17</v>
      </c>
    </row>
    <row r="88" spans="2:13" x14ac:dyDescent="0.35">
      <c r="B88">
        <v>84</v>
      </c>
      <c r="C88">
        <v>2373</v>
      </c>
      <c r="D88" s="1">
        <v>40182</v>
      </c>
      <c r="E88" s="1">
        <v>41162</v>
      </c>
      <c r="F88" t="s">
        <v>4</v>
      </c>
      <c r="G88" t="s">
        <v>3</v>
      </c>
      <c r="H88">
        <v>1000</v>
      </c>
      <c r="I88">
        <v>550</v>
      </c>
      <c r="J88">
        <v>80</v>
      </c>
      <c r="K88">
        <f>Claim[[#This Row],[Monto de prima]]-SUM(Claim[[#This Row],[Costo el reclamo]:[Costo de delivery]])</f>
        <v>370</v>
      </c>
      <c r="L88" t="s">
        <v>12</v>
      </c>
      <c r="M88" t="s">
        <v>19</v>
      </c>
    </row>
    <row r="89" spans="2:13" x14ac:dyDescent="0.35">
      <c r="B89">
        <v>85</v>
      </c>
      <c r="C89">
        <v>2823</v>
      </c>
      <c r="D89" s="1">
        <v>40750</v>
      </c>
      <c r="E89" s="1">
        <v>43265</v>
      </c>
      <c r="F89" t="s">
        <v>31</v>
      </c>
      <c r="G89" t="s">
        <v>6</v>
      </c>
      <c r="H89">
        <v>2000</v>
      </c>
      <c r="I89">
        <v>800</v>
      </c>
      <c r="J89">
        <v>20</v>
      </c>
      <c r="K89">
        <f>Claim[[#This Row],[Monto de prima]]-SUM(Claim[[#This Row],[Costo el reclamo]:[Costo de delivery]])</f>
        <v>1180</v>
      </c>
      <c r="L89" t="s">
        <v>12</v>
      </c>
      <c r="M89" t="s">
        <v>19</v>
      </c>
    </row>
    <row r="90" spans="2:13" x14ac:dyDescent="0.35">
      <c r="B90">
        <v>86</v>
      </c>
      <c r="C90">
        <v>4682</v>
      </c>
      <c r="D90" s="1">
        <v>42705</v>
      </c>
      <c r="E90" s="1">
        <v>43852</v>
      </c>
      <c r="F90" t="s">
        <v>1</v>
      </c>
      <c r="G90" t="s">
        <v>2</v>
      </c>
      <c r="H90">
        <v>250</v>
      </c>
      <c r="I90">
        <v>450</v>
      </c>
      <c r="J90">
        <v>30</v>
      </c>
      <c r="K90">
        <f>Claim[[#This Row],[Monto de prima]]-SUM(Claim[[#This Row],[Costo el reclamo]:[Costo de delivery]])</f>
        <v>-230</v>
      </c>
      <c r="L90" t="s">
        <v>9</v>
      </c>
      <c r="M90" t="s">
        <v>15</v>
      </c>
    </row>
    <row r="91" spans="2:13" x14ac:dyDescent="0.35">
      <c r="B91">
        <v>87</v>
      </c>
      <c r="C91">
        <v>4005</v>
      </c>
      <c r="D91" s="1">
        <v>41082</v>
      </c>
      <c r="E91" s="1">
        <v>41530</v>
      </c>
      <c r="F91" t="s">
        <v>4</v>
      </c>
      <c r="G91" t="s">
        <v>6</v>
      </c>
      <c r="H91">
        <v>1000</v>
      </c>
      <c r="I91">
        <v>550</v>
      </c>
      <c r="J91">
        <v>30</v>
      </c>
      <c r="K91">
        <f>Claim[[#This Row],[Monto de prima]]-SUM(Claim[[#This Row],[Costo el reclamo]:[Costo de delivery]])</f>
        <v>420</v>
      </c>
      <c r="L91" t="s">
        <v>11</v>
      </c>
      <c r="M91" t="s">
        <v>18</v>
      </c>
    </row>
    <row r="92" spans="2:13" x14ac:dyDescent="0.35">
      <c r="B92">
        <v>88</v>
      </c>
      <c r="C92">
        <v>2382</v>
      </c>
      <c r="D92" s="1">
        <v>42492</v>
      </c>
      <c r="E92" s="1">
        <v>43738</v>
      </c>
      <c r="F92" t="s">
        <v>31</v>
      </c>
      <c r="G92" t="s">
        <v>6</v>
      </c>
      <c r="H92">
        <v>2000</v>
      </c>
      <c r="I92">
        <v>800</v>
      </c>
      <c r="J92">
        <v>20</v>
      </c>
      <c r="K92">
        <f>Claim[[#This Row],[Monto de prima]]-SUM(Claim[[#This Row],[Costo el reclamo]:[Costo de delivery]])</f>
        <v>1180</v>
      </c>
      <c r="L92" t="s">
        <v>8</v>
      </c>
      <c r="M92" t="s">
        <v>17</v>
      </c>
    </row>
    <row r="93" spans="2:13" x14ac:dyDescent="0.35">
      <c r="B93">
        <v>89</v>
      </c>
      <c r="C93">
        <v>4087</v>
      </c>
      <c r="D93" s="1">
        <v>42237</v>
      </c>
      <c r="E93" s="1">
        <v>42462</v>
      </c>
      <c r="F93" t="s">
        <v>30</v>
      </c>
      <c r="G93" t="s">
        <v>3</v>
      </c>
      <c r="H93">
        <v>600</v>
      </c>
      <c r="I93">
        <v>200</v>
      </c>
      <c r="J93">
        <v>20</v>
      </c>
      <c r="K93">
        <f>Claim[[#This Row],[Monto de prima]]-SUM(Claim[[#This Row],[Costo el reclamo]:[Costo de delivery]])</f>
        <v>380</v>
      </c>
      <c r="L93" t="s">
        <v>10</v>
      </c>
      <c r="M93" t="s">
        <v>16</v>
      </c>
    </row>
    <row r="94" spans="2:13" x14ac:dyDescent="0.35">
      <c r="B94">
        <v>90</v>
      </c>
      <c r="C94">
        <v>4952</v>
      </c>
      <c r="D94" s="1">
        <v>40719</v>
      </c>
      <c r="E94" s="1">
        <v>43203</v>
      </c>
      <c r="F94" t="s">
        <v>31</v>
      </c>
      <c r="G94" t="s">
        <v>2</v>
      </c>
      <c r="H94">
        <v>2000</v>
      </c>
      <c r="I94">
        <v>800</v>
      </c>
      <c r="J94">
        <v>40</v>
      </c>
      <c r="K94">
        <f>Claim[[#This Row],[Monto de prima]]-SUM(Claim[[#This Row],[Costo el reclamo]:[Costo de delivery]])</f>
        <v>1160</v>
      </c>
      <c r="L94" t="s">
        <v>9</v>
      </c>
      <c r="M94" t="s">
        <v>15</v>
      </c>
    </row>
    <row r="95" spans="2:13" x14ac:dyDescent="0.35">
      <c r="B95">
        <v>91</v>
      </c>
      <c r="C95">
        <v>2041</v>
      </c>
      <c r="D95" s="1">
        <v>40853</v>
      </c>
      <c r="E95" s="1">
        <v>41859</v>
      </c>
      <c r="F95" t="s">
        <v>1</v>
      </c>
      <c r="G95" t="s">
        <v>3</v>
      </c>
      <c r="H95">
        <v>250</v>
      </c>
      <c r="I95">
        <v>450</v>
      </c>
      <c r="J95">
        <v>80</v>
      </c>
      <c r="K95">
        <f>Claim[[#This Row],[Monto de prima]]-SUM(Claim[[#This Row],[Costo el reclamo]:[Costo de delivery]])</f>
        <v>-280</v>
      </c>
      <c r="L95" t="s">
        <v>11</v>
      </c>
      <c r="M95" t="s">
        <v>18</v>
      </c>
    </row>
    <row r="96" spans="2:13" x14ac:dyDescent="0.35">
      <c r="B96">
        <v>92</v>
      </c>
      <c r="C96">
        <v>2937</v>
      </c>
      <c r="D96" s="1">
        <v>40763</v>
      </c>
      <c r="E96" s="1">
        <v>41371</v>
      </c>
      <c r="F96" t="s">
        <v>1</v>
      </c>
      <c r="G96" t="s">
        <v>2</v>
      </c>
      <c r="H96">
        <v>250</v>
      </c>
      <c r="I96">
        <v>450</v>
      </c>
      <c r="J96">
        <v>30</v>
      </c>
      <c r="K96">
        <f>Claim[[#This Row],[Monto de prima]]-SUM(Claim[[#This Row],[Costo el reclamo]:[Costo de delivery]])</f>
        <v>-230</v>
      </c>
      <c r="L96" t="s">
        <v>7</v>
      </c>
      <c r="M96" t="s">
        <v>16</v>
      </c>
    </row>
    <row r="97" spans="2:13" x14ac:dyDescent="0.35">
      <c r="B97">
        <v>93</v>
      </c>
      <c r="C97">
        <v>2329</v>
      </c>
      <c r="D97" s="1">
        <v>41198</v>
      </c>
      <c r="E97" s="1">
        <v>42267</v>
      </c>
      <c r="F97" t="s">
        <v>31</v>
      </c>
      <c r="G97" t="s">
        <v>6</v>
      </c>
      <c r="H97">
        <v>2000</v>
      </c>
      <c r="I97">
        <v>800</v>
      </c>
      <c r="J97">
        <v>20</v>
      </c>
      <c r="K97">
        <f>Claim[[#This Row],[Monto de prima]]-SUM(Claim[[#This Row],[Costo el reclamo]:[Costo de delivery]])</f>
        <v>1180</v>
      </c>
      <c r="L97" t="s">
        <v>12</v>
      </c>
      <c r="M97" t="s">
        <v>19</v>
      </c>
    </row>
    <row r="98" spans="2:13" x14ac:dyDescent="0.35">
      <c r="B98">
        <v>94</v>
      </c>
      <c r="C98">
        <v>3367</v>
      </c>
      <c r="D98" s="1">
        <v>41742</v>
      </c>
      <c r="E98" s="1">
        <v>41742</v>
      </c>
      <c r="F98" t="s">
        <v>4</v>
      </c>
      <c r="G98" t="s">
        <v>6</v>
      </c>
      <c r="H98">
        <v>1000</v>
      </c>
      <c r="I98">
        <v>550</v>
      </c>
      <c r="J98">
        <v>30</v>
      </c>
      <c r="K98">
        <f>Claim[[#This Row],[Monto de prima]]-SUM(Claim[[#This Row],[Costo el reclamo]:[Costo de delivery]])</f>
        <v>420</v>
      </c>
      <c r="L98" t="s">
        <v>8</v>
      </c>
      <c r="M98" t="s">
        <v>17</v>
      </c>
    </row>
    <row r="99" spans="2:13" x14ac:dyDescent="0.35">
      <c r="B99">
        <v>95</v>
      </c>
      <c r="C99">
        <v>3070</v>
      </c>
      <c r="D99" s="1">
        <v>41316</v>
      </c>
      <c r="E99" s="1">
        <v>43025</v>
      </c>
      <c r="F99" t="s">
        <v>30</v>
      </c>
      <c r="G99" t="s">
        <v>2</v>
      </c>
      <c r="H99">
        <v>600</v>
      </c>
      <c r="I99">
        <v>200</v>
      </c>
      <c r="J99">
        <v>35</v>
      </c>
      <c r="K99">
        <f>Claim[[#This Row],[Monto de prima]]-SUM(Claim[[#This Row],[Costo el reclamo]:[Costo de delivery]])</f>
        <v>365</v>
      </c>
      <c r="L99" t="s">
        <v>9</v>
      </c>
      <c r="M99" t="s">
        <v>15</v>
      </c>
    </row>
    <row r="100" spans="2:13" x14ac:dyDescent="0.35">
      <c r="B100">
        <v>96</v>
      </c>
      <c r="C100">
        <v>1902</v>
      </c>
      <c r="D100" s="1">
        <v>42523</v>
      </c>
      <c r="E100" s="1">
        <v>42524</v>
      </c>
      <c r="F100" t="s">
        <v>30</v>
      </c>
      <c r="G100" t="s">
        <v>2</v>
      </c>
      <c r="H100">
        <v>600</v>
      </c>
      <c r="I100">
        <v>200</v>
      </c>
      <c r="J100">
        <v>35</v>
      </c>
      <c r="K100">
        <f>Claim[[#This Row],[Monto de prima]]-SUM(Claim[[#This Row],[Costo el reclamo]:[Costo de delivery]])</f>
        <v>365</v>
      </c>
      <c r="L100" t="s">
        <v>13</v>
      </c>
      <c r="M100" t="s">
        <v>14</v>
      </c>
    </row>
    <row r="101" spans="2:13" x14ac:dyDescent="0.35">
      <c r="B101">
        <v>97</v>
      </c>
      <c r="C101">
        <v>1056</v>
      </c>
      <c r="D101" s="1">
        <v>40423</v>
      </c>
      <c r="E101" s="1">
        <v>41039</v>
      </c>
      <c r="F101" t="s">
        <v>30</v>
      </c>
      <c r="G101" t="s">
        <v>6</v>
      </c>
      <c r="H101">
        <v>600</v>
      </c>
      <c r="I101">
        <v>200</v>
      </c>
      <c r="J101">
        <v>15</v>
      </c>
      <c r="K101">
        <f>Claim[[#This Row],[Monto de prima]]-SUM(Claim[[#This Row],[Costo el reclamo]:[Costo de delivery]])</f>
        <v>385</v>
      </c>
      <c r="L101" t="s">
        <v>7</v>
      </c>
      <c r="M101" t="s">
        <v>16</v>
      </c>
    </row>
    <row r="102" spans="2:13" x14ac:dyDescent="0.35">
      <c r="B102">
        <v>98</v>
      </c>
      <c r="C102">
        <v>4301</v>
      </c>
      <c r="D102" s="1">
        <v>40407</v>
      </c>
      <c r="E102" s="1">
        <v>41629</v>
      </c>
      <c r="F102" t="s">
        <v>31</v>
      </c>
      <c r="G102" t="s">
        <v>3</v>
      </c>
      <c r="H102">
        <v>2000</v>
      </c>
      <c r="I102">
        <v>800</v>
      </c>
      <c r="J102">
        <v>30</v>
      </c>
      <c r="K102">
        <f>Claim[[#This Row],[Monto de prima]]-SUM(Claim[[#This Row],[Costo el reclamo]:[Costo de delivery]])</f>
        <v>1170</v>
      </c>
      <c r="L102" t="s">
        <v>8</v>
      </c>
      <c r="M102" t="s">
        <v>17</v>
      </c>
    </row>
    <row r="103" spans="2:13" x14ac:dyDescent="0.35">
      <c r="B103">
        <v>99</v>
      </c>
      <c r="C103">
        <v>4544</v>
      </c>
      <c r="D103" s="1">
        <v>42412</v>
      </c>
      <c r="E103" s="1">
        <v>42421</v>
      </c>
      <c r="F103" t="s">
        <v>1</v>
      </c>
      <c r="G103" t="s">
        <v>6</v>
      </c>
      <c r="H103">
        <v>250</v>
      </c>
      <c r="I103">
        <v>450</v>
      </c>
      <c r="J103">
        <v>50</v>
      </c>
      <c r="K103">
        <f>Claim[[#This Row],[Monto de prima]]-SUM(Claim[[#This Row],[Costo el reclamo]:[Costo de delivery]])</f>
        <v>-250</v>
      </c>
      <c r="L103" t="s">
        <v>12</v>
      </c>
      <c r="M103" t="s">
        <v>19</v>
      </c>
    </row>
    <row r="104" spans="2:13" x14ac:dyDescent="0.35">
      <c r="B104">
        <v>100</v>
      </c>
      <c r="C104">
        <v>3412</v>
      </c>
      <c r="D104" s="1">
        <v>40235</v>
      </c>
      <c r="E104" s="1">
        <v>42884</v>
      </c>
      <c r="F104" t="s">
        <v>30</v>
      </c>
      <c r="G104" t="s">
        <v>3</v>
      </c>
      <c r="H104">
        <v>600</v>
      </c>
      <c r="I104">
        <v>200</v>
      </c>
      <c r="J104">
        <v>20</v>
      </c>
      <c r="K104">
        <f>Claim[[#This Row],[Monto de prima]]-SUM(Claim[[#This Row],[Costo el reclamo]:[Costo de delivery]])</f>
        <v>380</v>
      </c>
      <c r="L104" t="s">
        <v>11</v>
      </c>
      <c r="M104" t="s">
        <v>18</v>
      </c>
    </row>
    <row r="105" spans="2:13" x14ac:dyDescent="0.35">
      <c r="B105">
        <v>101</v>
      </c>
      <c r="C105">
        <v>1592</v>
      </c>
      <c r="D105" s="1">
        <v>42127</v>
      </c>
      <c r="E105" s="1">
        <v>42127</v>
      </c>
      <c r="F105" t="s">
        <v>31</v>
      </c>
      <c r="G105" t="s">
        <v>6</v>
      </c>
      <c r="H105">
        <v>2000</v>
      </c>
      <c r="I105">
        <v>800</v>
      </c>
      <c r="J105">
        <v>20</v>
      </c>
      <c r="K105">
        <f>Claim[[#This Row],[Monto de prima]]-SUM(Claim[[#This Row],[Costo el reclamo]:[Costo de delivery]])</f>
        <v>1180</v>
      </c>
      <c r="L105" t="s">
        <v>8</v>
      </c>
      <c r="M105" t="s">
        <v>17</v>
      </c>
    </row>
    <row r="106" spans="2:13" x14ac:dyDescent="0.35">
      <c r="B106">
        <v>102</v>
      </c>
      <c r="C106">
        <v>2958</v>
      </c>
      <c r="D106" s="1">
        <v>40541</v>
      </c>
      <c r="E106" s="1">
        <v>43459</v>
      </c>
      <c r="F106" t="s">
        <v>30</v>
      </c>
      <c r="G106" t="s">
        <v>3</v>
      </c>
      <c r="H106">
        <v>600</v>
      </c>
      <c r="I106">
        <v>200</v>
      </c>
      <c r="J106">
        <v>20</v>
      </c>
      <c r="K106">
        <f>Claim[[#This Row],[Monto de prima]]-SUM(Claim[[#This Row],[Costo el reclamo]:[Costo de delivery]])</f>
        <v>380</v>
      </c>
      <c r="L106" t="s">
        <v>13</v>
      </c>
      <c r="M106" t="s">
        <v>14</v>
      </c>
    </row>
    <row r="107" spans="2:13" x14ac:dyDescent="0.35">
      <c r="B107">
        <v>103</v>
      </c>
      <c r="C107">
        <v>4917</v>
      </c>
      <c r="D107" s="1">
        <v>41498</v>
      </c>
      <c r="E107" s="1">
        <v>41575</v>
      </c>
      <c r="F107" t="s">
        <v>30</v>
      </c>
      <c r="G107" t="s">
        <v>6</v>
      </c>
      <c r="H107">
        <v>600</v>
      </c>
      <c r="I107">
        <v>200</v>
      </c>
      <c r="J107">
        <v>15</v>
      </c>
      <c r="K107">
        <f>Claim[[#This Row],[Monto de prima]]-SUM(Claim[[#This Row],[Costo el reclamo]:[Costo de delivery]])</f>
        <v>385</v>
      </c>
      <c r="L107" t="s">
        <v>13</v>
      </c>
      <c r="M107" t="s">
        <v>14</v>
      </c>
    </row>
    <row r="108" spans="2:13" x14ac:dyDescent="0.35">
      <c r="B108">
        <v>104</v>
      </c>
      <c r="C108">
        <v>4961</v>
      </c>
      <c r="D108" s="1">
        <v>40812</v>
      </c>
      <c r="E108" s="1">
        <v>41782</v>
      </c>
      <c r="F108" t="s">
        <v>31</v>
      </c>
      <c r="G108" t="s">
        <v>5</v>
      </c>
      <c r="H108">
        <v>2000</v>
      </c>
      <c r="I108">
        <v>800</v>
      </c>
      <c r="J108">
        <v>25</v>
      </c>
      <c r="K108">
        <f>Claim[[#This Row],[Monto de prima]]-SUM(Claim[[#This Row],[Costo el reclamo]:[Costo de delivery]])</f>
        <v>1175</v>
      </c>
      <c r="L108" t="s">
        <v>7</v>
      </c>
      <c r="M108" t="s">
        <v>16</v>
      </c>
    </row>
    <row r="109" spans="2:13" x14ac:dyDescent="0.35">
      <c r="B109">
        <v>105</v>
      </c>
      <c r="C109">
        <v>2061</v>
      </c>
      <c r="D109" s="1">
        <v>42566</v>
      </c>
      <c r="E109" s="1">
        <v>43566</v>
      </c>
      <c r="F109" t="s">
        <v>4</v>
      </c>
      <c r="G109" t="s">
        <v>2</v>
      </c>
      <c r="H109">
        <v>1000</v>
      </c>
      <c r="I109">
        <v>550</v>
      </c>
      <c r="J109">
        <v>50</v>
      </c>
      <c r="K109">
        <f>Claim[[#This Row],[Monto de prima]]-SUM(Claim[[#This Row],[Costo el reclamo]:[Costo de delivery]])</f>
        <v>400</v>
      </c>
      <c r="L109" t="s">
        <v>13</v>
      </c>
      <c r="M109" t="s">
        <v>14</v>
      </c>
    </row>
    <row r="110" spans="2:13" x14ac:dyDescent="0.35">
      <c r="B110">
        <v>106</v>
      </c>
      <c r="C110">
        <v>2181</v>
      </c>
      <c r="D110" s="1">
        <v>42543</v>
      </c>
      <c r="E110" s="1">
        <v>42543</v>
      </c>
      <c r="F110" t="s">
        <v>4</v>
      </c>
      <c r="G110" t="s">
        <v>6</v>
      </c>
      <c r="H110">
        <v>1000</v>
      </c>
      <c r="I110">
        <v>550</v>
      </c>
      <c r="J110">
        <v>30</v>
      </c>
      <c r="K110">
        <f>Claim[[#This Row],[Monto de prima]]-SUM(Claim[[#This Row],[Costo el reclamo]:[Costo de delivery]])</f>
        <v>420</v>
      </c>
      <c r="L110" t="s">
        <v>10</v>
      </c>
      <c r="M110" t="s">
        <v>16</v>
      </c>
    </row>
    <row r="111" spans="2:13" x14ac:dyDescent="0.35">
      <c r="B111">
        <v>107</v>
      </c>
      <c r="C111">
        <v>4390</v>
      </c>
      <c r="D111" s="1">
        <v>41967</v>
      </c>
      <c r="E111" s="1">
        <v>42149</v>
      </c>
      <c r="F111" t="s">
        <v>4</v>
      </c>
      <c r="G111" t="s">
        <v>2</v>
      </c>
      <c r="H111">
        <v>1000</v>
      </c>
      <c r="I111">
        <v>550</v>
      </c>
      <c r="J111">
        <v>50</v>
      </c>
      <c r="K111">
        <f>Claim[[#This Row],[Monto de prima]]-SUM(Claim[[#This Row],[Costo el reclamo]:[Costo de delivery]])</f>
        <v>400</v>
      </c>
      <c r="L111" t="s">
        <v>8</v>
      </c>
      <c r="M111" t="s">
        <v>17</v>
      </c>
    </row>
    <row r="112" spans="2:13" x14ac:dyDescent="0.35">
      <c r="B112">
        <v>108</v>
      </c>
      <c r="C112">
        <v>2977</v>
      </c>
      <c r="D112" s="1">
        <v>42919</v>
      </c>
      <c r="E112" s="1">
        <v>42919</v>
      </c>
      <c r="F112" t="s">
        <v>4</v>
      </c>
      <c r="G112" t="s">
        <v>6</v>
      </c>
      <c r="H112">
        <v>1000</v>
      </c>
      <c r="I112">
        <v>550</v>
      </c>
      <c r="J112">
        <v>30</v>
      </c>
      <c r="K112">
        <f>Claim[[#This Row],[Monto de prima]]-SUM(Claim[[#This Row],[Costo el reclamo]:[Costo de delivery]])</f>
        <v>420</v>
      </c>
      <c r="L112" t="s">
        <v>13</v>
      </c>
      <c r="M112" t="s">
        <v>14</v>
      </c>
    </row>
    <row r="113" spans="2:13" x14ac:dyDescent="0.35">
      <c r="B113">
        <v>109</v>
      </c>
      <c r="C113">
        <v>1925</v>
      </c>
      <c r="D113" s="1">
        <v>40533</v>
      </c>
      <c r="E113" s="1">
        <v>42991</v>
      </c>
      <c r="F113" t="s">
        <v>30</v>
      </c>
      <c r="G113" t="s">
        <v>6</v>
      </c>
      <c r="H113">
        <v>600</v>
      </c>
      <c r="I113">
        <v>200</v>
      </c>
      <c r="J113">
        <v>15</v>
      </c>
      <c r="K113">
        <f>Claim[[#This Row],[Monto de prima]]-SUM(Claim[[#This Row],[Costo el reclamo]:[Costo de delivery]])</f>
        <v>385</v>
      </c>
      <c r="L113" t="s">
        <v>7</v>
      </c>
      <c r="M113" t="s">
        <v>16</v>
      </c>
    </row>
    <row r="114" spans="2:13" x14ac:dyDescent="0.35">
      <c r="B114">
        <v>110</v>
      </c>
      <c r="C114">
        <v>1276</v>
      </c>
      <c r="D114" s="1">
        <v>41834</v>
      </c>
      <c r="E114" s="1">
        <v>43103</v>
      </c>
      <c r="F114" t="s">
        <v>4</v>
      </c>
      <c r="G114" t="s">
        <v>3</v>
      </c>
      <c r="H114">
        <v>1000</v>
      </c>
      <c r="I114">
        <v>550</v>
      </c>
      <c r="J114">
        <v>80</v>
      </c>
      <c r="K114">
        <f>Claim[[#This Row],[Monto de prima]]-SUM(Claim[[#This Row],[Costo el reclamo]:[Costo de delivery]])</f>
        <v>370</v>
      </c>
      <c r="L114" t="s">
        <v>10</v>
      </c>
      <c r="M114" t="s">
        <v>16</v>
      </c>
    </row>
    <row r="115" spans="2:13" x14ac:dyDescent="0.35">
      <c r="B115">
        <v>111</v>
      </c>
      <c r="C115">
        <v>4571</v>
      </c>
      <c r="D115" s="1">
        <v>42691</v>
      </c>
      <c r="E115" s="1">
        <v>43686</v>
      </c>
      <c r="F115" t="s">
        <v>1</v>
      </c>
      <c r="G115" t="s">
        <v>6</v>
      </c>
      <c r="H115">
        <v>250</v>
      </c>
      <c r="I115">
        <v>450</v>
      </c>
      <c r="J115">
        <v>50</v>
      </c>
      <c r="K115">
        <f>Claim[[#This Row],[Monto de prima]]-SUM(Claim[[#This Row],[Costo el reclamo]:[Costo de delivery]])</f>
        <v>-250</v>
      </c>
      <c r="L115" t="s">
        <v>7</v>
      </c>
      <c r="M115" t="s">
        <v>16</v>
      </c>
    </row>
    <row r="116" spans="2:13" x14ac:dyDescent="0.35">
      <c r="B116">
        <v>112</v>
      </c>
      <c r="C116">
        <v>3098</v>
      </c>
      <c r="D116" s="1">
        <v>42887</v>
      </c>
      <c r="E116" s="1">
        <v>42887</v>
      </c>
      <c r="F116" t="s">
        <v>4</v>
      </c>
      <c r="G116" t="s">
        <v>3</v>
      </c>
      <c r="H116">
        <v>1000</v>
      </c>
      <c r="I116">
        <v>550</v>
      </c>
      <c r="J116">
        <v>80</v>
      </c>
      <c r="K116">
        <f>Claim[[#This Row],[Monto de prima]]-SUM(Claim[[#This Row],[Costo el reclamo]:[Costo de delivery]])</f>
        <v>370</v>
      </c>
      <c r="L116" t="s">
        <v>8</v>
      </c>
      <c r="M116" t="s">
        <v>17</v>
      </c>
    </row>
    <row r="117" spans="2:13" x14ac:dyDescent="0.35">
      <c r="B117">
        <v>113</v>
      </c>
      <c r="C117">
        <v>4553</v>
      </c>
      <c r="D117" s="1">
        <v>42635</v>
      </c>
      <c r="E117" s="1">
        <v>42892</v>
      </c>
      <c r="F117" t="s">
        <v>31</v>
      </c>
      <c r="G117" t="s">
        <v>3</v>
      </c>
      <c r="H117">
        <v>2000</v>
      </c>
      <c r="I117">
        <v>800</v>
      </c>
      <c r="J117">
        <v>30</v>
      </c>
      <c r="K117">
        <f>Claim[[#This Row],[Monto de prima]]-SUM(Claim[[#This Row],[Costo el reclamo]:[Costo de delivery]])</f>
        <v>1170</v>
      </c>
      <c r="L117" t="s">
        <v>10</v>
      </c>
      <c r="M117" t="s">
        <v>16</v>
      </c>
    </row>
    <row r="118" spans="2:13" x14ac:dyDescent="0.35">
      <c r="B118">
        <v>114</v>
      </c>
      <c r="C118">
        <v>2067</v>
      </c>
      <c r="D118" s="1">
        <v>43103</v>
      </c>
      <c r="E118" s="1">
        <v>43103</v>
      </c>
      <c r="F118" t="s">
        <v>30</v>
      </c>
      <c r="G118" t="s">
        <v>6</v>
      </c>
      <c r="H118">
        <v>600</v>
      </c>
      <c r="I118">
        <v>200</v>
      </c>
      <c r="J118">
        <v>15</v>
      </c>
      <c r="K118">
        <f>Claim[[#This Row],[Monto de prima]]-SUM(Claim[[#This Row],[Costo el reclamo]:[Costo de delivery]])</f>
        <v>385</v>
      </c>
      <c r="L118" t="s">
        <v>8</v>
      </c>
      <c r="M118" t="s">
        <v>17</v>
      </c>
    </row>
    <row r="119" spans="2:13" x14ac:dyDescent="0.35">
      <c r="B119">
        <v>115</v>
      </c>
      <c r="C119">
        <v>4067</v>
      </c>
      <c r="D119" s="1">
        <v>40774</v>
      </c>
      <c r="E119" s="1">
        <v>42976</v>
      </c>
      <c r="F119" t="s">
        <v>4</v>
      </c>
      <c r="G119" t="s">
        <v>3</v>
      </c>
      <c r="H119">
        <v>1000</v>
      </c>
      <c r="I119">
        <v>550</v>
      </c>
      <c r="J119">
        <v>80</v>
      </c>
      <c r="K119">
        <f>Claim[[#This Row],[Monto de prima]]-SUM(Claim[[#This Row],[Costo el reclamo]:[Costo de delivery]])</f>
        <v>370</v>
      </c>
      <c r="L119" t="s">
        <v>7</v>
      </c>
      <c r="M119" t="s">
        <v>16</v>
      </c>
    </row>
    <row r="120" spans="2:13" x14ac:dyDescent="0.35">
      <c r="B120">
        <v>116</v>
      </c>
      <c r="C120">
        <v>3094</v>
      </c>
      <c r="D120" s="1">
        <v>41048</v>
      </c>
      <c r="E120" s="1">
        <v>42842</v>
      </c>
      <c r="F120" t="s">
        <v>4</v>
      </c>
      <c r="G120" t="s">
        <v>3</v>
      </c>
      <c r="H120">
        <v>1000</v>
      </c>
      <c r="I120">
        <v>550</v>
      </c>
      <c r="J120">
        <v>80</v>
      </c>
      <c r="K120">
        <f>Claim[[#This Row],[Monto de prima]]-SUM(Claim[[#This Row],[Costo el reclamo]:[Costo de delivery]])</f>
        <v>370</v>
      </c>
      <c r="L120" t="s">
        <v>12</v>
      </c>
      <c r="M120" t="s">
        <v>19</v>
      </c>
    </row>
    <row r="121" spans="2:13" x14ac:dyDescent="0.35">
      <c r="B121">
        <v>117</v>
      </c>
      <c r="C121">
        <v>1137</v>
      </c>
      <c r="D121" s="1">
        <v>42552</v>
      </c>
      <c r="E121" s="1">
        <v>42686</v>
      </c>
      <c r="F121" t="s">
        <v>31</v>
      </c>
      <c r="G121" t="s">
        <v>5</v>
      </c>
      <c r="H121">
        <v>2000</v>
      </c>
      <c r="I121">
        <v>800</v>
      </c>
      <c r="J121">
        <v>25</v>
      </c>
      <c r="K121">
        <f>Claim[[#This Row],[Monto de prima]]-SUM(Claim[[#This Row],[Costo el reclamo]:[Costo de delivery]])</f>
        <v>1175</v>
      </c>
      <c r="L121" t="s">
        <v>11</v>
      </c>
      <c r="M121" t="s">
        <v>18</v>
      </c>
    </row>
    <row r="122" spans="2:13" x14ac:dyDescent="0.35">
      <c r="B122">
        <v>118</v>
      </c>
      <c r="C122">
        <v>1525</v>
      </c>
      <c r="D122" s="1">
        <v>42928</v>
      </c>
      <c r="E122" s="1">
        <v>43068</v>
      </c>
      <c r="F122" t="s">
        <v>31</v>
      </c>
      <c r="G122" t="s">
        <v>2</v>
      </c>
      <c r="H122">
        <v>2000</v>
      </c>
      <c r="I122">
        <v>800</v>
      </c>
      <c r="J122">
        <v>40</v>
      </c>
      <c r="K122">
        <f>Claim[[#This Row],[Monto de prima]]-SUM(Claim[[#This Row],[Costo el reclamo]:[Costo de delivery]])</f>
        <v>1160</v>
      </c>
      <c r="L122" t="s">
        <v>12</v>
      </c>
      <c r="M122" t="s">
        <v>19</v>
      </c>
    </row>
    <row r="123" spans="2:13" x14ac:dyDescent="0.35">
      <c r="B123">
        <v>119</v>
      </c>
      <c r="C123">
        <v>4776</v>
      </c>
      <c r="D123" s="1">
        <v>40953</v>
      </c>
      <c r="E123" s="1">
        <v>42840</v>
      </c>
      <c r="F123" t="s">
        <v>4</v>
      </c>
      <c r="G123" t="s">
        <v>2</v>
      </c>
      <c r="H123">
        <v>1000</v>
      </c>
      <c r="I123">
        <v>550</v>
      </c>
      <c r="J123">
        <v>50</v>
      </c>
      <c r="K123">
        <f>Claim[[#This Row],[Monto de prima]]-SUM(Claim[[#This Row],[Costo el reclamo]:[Costo de delivery]])</f>
        <v>400</v>
      </c>
      <c r="L123" t="s">
        <v>9</v>
      </c>
      <c r="M123" t="s">
        <v>15</v>
      </c>
    </row>
    <row r="124" spans="2:13" x14ac:dyDescent="0.35">
      <c r="B124">
        <v>120</v>
      </c>
      <c r="C124">
        <v>3548</v>
      </c>
      <c r="D124" s="1">
        <v>42718</v>
      </c>
      <c r="E124" s="1">
        <v>42718</v>
      </c>
      <c r="F124" t="s">
        <v>30</v>
      </c>
      <c r="G124" t="s">
        <v>5</v>
      </c>
      <c r="H124">
        <v>600</v>
      </c>
      <c r="I124">
        <v>200</v>
      </c>
      <c r="J124">
        <v>50</v>
      </c>
      <c r="K124">
        <f>Claim[[#This Row],[Monto de prima]]-SUM(Claim[[#This Row],[Costo el reclamo]:[Costo de delivery]])</f>
        <v>350</v>
      </c>
      <c r="L124" t="s">
        <v>8</v>
      </c>
      <c r="M124" t="s">
        <v>17</v>
      </c>
    </row>
    <row r="125" spans="2:13" x14ac:dyDescent="0.35">
      <c r="B125">
        <v>121</v>
      </c>
      <c r="C125">
        <v>3484</v>
      </c>
      <c r="D125" s="1">
        <v>42545</v>
      </c>
      <c r="E125" s="1">
        <v>42989</v>
      </c>
      <c r="F125" t="s">
        <v>1</v>
      </c>
      <c r="G125" t="s">
        <v>3</v>
      </c>
      <c r="H125">
        <v>250</v>
      </c>
      <c r="I125">
        <v>450</v>
      </c>
      <c r="J125">
        <v>80</v>
      </c>
      <c r="K125">
        <f>Claim[[#This Row],[Monto de prima]]-SUM(Claim[[#This Row],[Costo el reclamo]:[Costo de delivery]])</f>
        <v>-280</v>
      </c>
      <c r="L125" t="s">
        <v>13</v>
      </c>
      <c r="M125" t="s">
        <v>14</v>
      </c>
    </row>
    <row r="126" spans="2:13" x14ac:dyDescent="0.35">
      <c r="B126">
        <v>122</v>
      </c>
      <c r="C126">
        <v>1543</v>
      </c>
      <c r="D126" s="1">
        <v>43105</v>
      </c>
      <c r="E126" s="1">
        <v>43105</v>
      </c>
      <c r="F126" t="s">
        <v>4</v>
      </c>
      <c r="G126" t="s">
        <v>5</v>
      </c>
      <c r="H126">
        <v>1000</v>
      </c>
      <c r="I126">
        <v>550</v>
      </c>
      <c r="J126">
        <v>50</v>
      </c>
      <c r="K126">
        <f>Claim[[#This Row],[Monto de prima]]-SUM(Claim[[#This Row],[Costo el reclamo]:[Costo de delivery]])</f>
        <v>400</v>
      </c>
      <c r="L126" t="s">
        <v>11</v>
      </c>
      <c r="M126" t="s">
        <v>18</v>
      </c>
    </row>
    <row r="127" spans="2:13" x14ac:dyDescent="0.35">
      <c r="B127">
        <v>123</v>
      </c>
      <c r="C127">
        <v>1514</v>
      </c>
      <c r="D127" s="1">
        <v>42700</v>
      </c>
      <c r="E127" s="1">
        <v>43749</v>
      </c>
      <c r="F127" t="s">
        <v>4</v>
      </c>
      <c r="G127" t="s">
        <v>2</v>
      </c>
      <c r="H127">
        <v>1000</v>
      </c>
      <c r="I127">
        <v>550</v>
      </c>
      <c r="J127">
        <v>50</v>
      </c>
      <c r="K127">
        <f>Claim[[#This Row],[Monto de prima]]-SUM(Claim[[#This Row],[Costo el reclamo]:[Costo de delivery]])</f>
        <v>400</v>
      </c>
      <c r="L127" t="s">
        <v>8</v>
      </c>
      <c r="M127" t="s">
        <v>17</v>
      </c>
    </row>
    <row r="128" spans="2:13" x14ac:dyDescent="0.35">
      <c r="B128">
        <v>124</v>
      </c>
      <c r="C128">
        <v>2769</v>
      </c>
      <c r="D128" s="1">
        <v>43207</v>
      </c>
      <c r="E128" s="1">
        <v>43314</v>
      </c>
      <c r="F128" t="s">
        <v>30</v>
      </c>
      <c r="G128" t="s">
        <v>5</v>
      </c>
      <c r="H128">
        <v>600</v>
      </c>
      <c r="I128">
        <v>200</v>
      </c>
      <c r="J128">
        <v>50</v>
      </c>
      <c r="K128">
        <f>Claim[[#This Row],[Monto de prima]]-SUM(Claim[[#This Row],[Costo el reclamo]:[Costo de delivery]])</f>
        <v>350</v>
      </c>
      <c r="L128" t="s">
        <v>8</v>
      </c>
      <c r="M128" t="s">
        <v>17</v>
      </c>
    </row>
    <row r="129" spans="2:13" x14ac:dyDescent="0.35">
      <c r="B129">
        <v>125</v>
      </c>
      <c r="C129">
        <v>3595</v>
      </c>
      <c r="D129" s="1">
        <v>43126</v>
      </c>
      <c r="E129" s="1">
        <v>43126</v>
      </c>
      <c r="F129" t="s">
        <v>31</v>
      </c>
      <c r="G129" t="s">
        <v>2</v>
      </c>
      <c r="H129">
        <v>2000</v>
      </c>
      <c r="I129">
        <v>800</v>
      </c>
      <c r="J129">
        <v>40</v>
      </c>
      <c r="K129">
        <f>Claim[[#This Row],[Monto de prima]]-SUM(Claim[[#This Row],[Costo el reclamo]:[Costo de delivery]])</f>
        <v>1160</v>
      </c>
      <c r="L129" t="s">
        <v>13</v>
      </c>
      <c r="M129" t="s">
        <v>14</v>
      </c>
    </row>
    <row r="130" spans="2:13" x14ac:dyDescent="0.35">
      <c r="B130">
        <v>126</v>
      </c>
      <c r="C130">
        <v>1038</v>
      </c>
      <c r="D130" s="1">
        <v>42351</v>
      </c>
      <c r="E130" s="1">
        <v>42351</v>
      </c>
      <c r="F130" t="s">
        <v>1</v>
      </c>
      <c r="G130" t="s">
        <v>6</v>
      </c>
      <c r="H130">
        <v>250</v>
      </c>
      <c r="I130">
        <v>450</v>
      </c>
      <c r="J130">
        <v>50</v>
      </c>
      <c r="K130">
        <f>Claim[[#This Row],[Monto de prima]]-SUM(Claim[[#This Row],[Costo el reclamo]:[Costo de delivery]])</f>
        <v>-250</v>
      </c>
      <c r="L130" t="s">
        <v>7</v>
      </c>
      <c r="M130" t="s">
        <v>16</v>
      </c>
    </row>
    <row r="131" spans="2:13" x14ac:dyDescent="0.35">
      <c r="B131">
        <v>127</v>
      </c>
      <c r="C131">
        <v>2292</v>
      </c>
      <c r="D131" s="1">
        <v>40839</v>
      </c>
      <c r="E131" s="1">
        <v>41429</v>
      </c>
      <c r="F131" t="s">
        <v>30</v>
      </c>
      <c r="G131" t="s">
        <v>2</v>
      </c>
      <c r="H131">
        <v>600</v>
      </c>
      <c r="I131">
        <v>200</v>
      </c>
      <c r="J131">
        <v>35</v>
      </c>
      <c r="K131">
        <f>Claim[[#This Row],[Monto de prima]]-SUM(Claim[[#This Row],[Costo el reclamo]:[Costo de delivery]])</f>
        <v>365</v>
      </c>
      <c r="L131" t="s">
        <v>8</v>
      </c>
      <c r="M131" t="s">
        <v>17</v>
      </c>
    </row>
    <row r="132" spans="2:13" x14ac:dyDescent="0.35">
      <c r="B132">
        <v>128</v>
      </c>
      <c r="C132">
        <v>4888</v>
      </c>
      <c r="D132" s="1">
        <v>40370</v>
      </c>
      <c r="E132" s="1">
        <v>43806</v>
      </c>
      <c r="F132" t="s">
        <v>1</v>
      </c>
      <c r="G132" t="s">
        <v>3</v>
      </c>
      <c r="H132">
        <v>250</v>
      </c>
      <c r="I132">
        <v>450</v>
      </c>
      <c r="J132">
        <v>80</v>
      </c>
      <c r="K132">
        <f>Claim[[#This Row],[Monto de prima]]-SUM(Claim[[#This Row],[Costo el reclamo]:[Costo de delivery]])</f>
        <v>-280</v>
      </c>
      <c r="L132" t="s">
        <v>7</v>
      </c>
      <c r="M132" t="s">
        <v>16</v>
      </c>
    </row>
    <row r="133" spans="2:13" x14ac:dyDescent="0.35">
      <c r="B133">
        <v>129</v>
      </c>
      <c r="C133">
        <v>2494</v>
      </c>
      <c r="D133" s="1">
        <v>41005</v>
      </c>
      <c r="E133" s="1">
        <v>43686</v>
      </c>
      <c r="F133" t="s">
        <v>30</v>
      </c>
      <c r="G133" t="s">
        <v>5</v>
      </c>
      <c r="H133">
        <v>600</v>
      </c>
      <c r="I133">
        <v>200</v>
      </c>
      <c r="J133">
        <v>50</v>
      </c>
      <c r="K133">
        <f>Claim[[#This Row],[Monto de prima]]-SUM(Claim[[#This Row],[Costo el reclamo]:[Costo de delivery]])</f>
        <v>350</v>
      </c>
      <c r="L133" t="s">
        <v>7</v>
      </c>
      <c r="M133" t="s">
        <v>16</v>
      </c>
    </row>
    <row r="134" spans="2:13" x14ac:dyDescent="0.35">
      <c r="B134">
        <v>130</v>
      </c>
      <c r="C134">
        <v>3744</v>
      </c>
      <c r="D134" s="1">
        <v>41720</v>
      </c>
      <c r="E134" s="1">
        <v>43213</v>
      </c>
      <c r="F134" t="s">
        <v>31</v>
      </c>
      <c r="G134" t="s">
        <v>3</v>
      </c>
      <c r="H134">
        <v>2000</v>
      </c>
      <c r="I134">
        <v>800</v>
      </c>
      <c r="J134">
        <v>30</v>
      </c>
      <c r="K134">
        <f>Claim[[#This Row],[Monto de prima]]-SUM(Claim[[#This Row],[Costo el reclamo]:[Costo de delivery]])</f>
        <v>1170</v>
      </c>
      <c r="L134" t="s">
        <v>11</v>
      </c>
      <c r="M134" t="s">
        <v>18</v>
      </c>
    </row>
    <row r="135" spans="2:13" x14ac:dyDescent="0.35">
      <c r="B135">
        <v>131</v>
      </c>
      <c r="C135">
        <v>1549</v>
      </c>
      <c r="D135" s="1">
        <v>41242</v>
      </c>
      <c r="E135" s="1">
        <v>43040</v>
      </c>
      <c r="F135" t="s">
        <v>4</v>
      </c>
      <c r="G135" t="s">
        <v>5</v>
      </c>
      <c r="H135">
        <v>1000</v>
      </c>
      <c r="I135">
        <v>550</v>
      </c>
      <c r="J135">
        <v>50</v>
      </c>
      <c r="K135">
        <f>Claim[[#This Row],[Monto de prima]]-SUM(Claim[[#This Row],[Costo el reclamo]:[Costo de delivery]])</f>
        <v>400</v>
      </c>
      <c r="L135" t="s">
        <v>8</v>
      </c>
      <c r="M135" t="s">
        <v>17</v>
      </c>
    </row>
    <row r="136" spans="2:13" x14ac:dyDescent="0.35">
      <c r="B136">
        <v>132</v>
      </c>
      <c r="C136">
        <v>3914</v>
      </c>
      <c r="D136" s="1">
        <v>43058</v>
      </c>
      <c r="E136" s="1">
        <v>43277</v>
      </c>
      <c r="F136" t="s">
        <v>31</v>
      </c>
      <c r="G136" t="s">
        <v>2</v>
      </c>
      <c r="H136">
        <v>2000</v>
      </c>
      <c r="I136">
        <v>800</v>
      </c>
      <c r="J136">
        <v>40</v>
      </c>
      <c r="K136">
        <f>Claim[[#This Row],[Monto de prima]]-SUM(Claim[[#This Row],[Costo el reclamo]:[Costo de delivery]])</f>
        <v>1160</v>
      </c>
      <c r="L136" t="s">
        <v>13</v>
      </c>
      <c r="M136" t="s">
        <v>14</v>
      </c>
    </row>
    <row r="137" spans="2:13" x14ac:dyDescent="0.35">
      <c r="B137">
        <v>133</v>
      </c>
      <c r="C137">
        <v>3187</v>
      </c>
      <c r="D137" s="1">
        <v>41697</v>
      </c>
      <c r="E137" s="1">
        <v>42690</v>
      </c>
      <c r="F137" t="s">
        <v>4</v>
      </c>
      <c r="G137" t="s">
        <v>6</v>
      </c>
      <c r="H137">
        <v>1000</v>
      </c>
      <c r="I137">
        <v>550</v>
      </c>
      <c r="J137">
        <v>30</v>
      </c>
      <c r="K137">
        <f>Claim[[#This Row],[Monto de prima]]-SUM(Claim[[#This Row],[Costo el reclamo]:[Costo de delivery]])</f>
        <v>420</v>
      </c>
      <c r="L137" t="s">
        <v>13</v>
      </c>
      <c r="M137" t="s">
        <v>14</v>
      </c>
    </row>
    <row r="138" spans="2:13" x14ac:dyDescent="0.35">
      <c r="B138">
        <v>134</v>
      </c>
      <c r="C138">
        <v>2366</v>
      </c>
      <c r="D138" s="1">
        <v>42611</v>
      </c>
      <c r="E138" s="1">
        <v>42611</v>
      </c>
      <c r="F138" t="s">
        <v>31</v>
      </c>
      <c r="G138" t="s">
        <v>5</v>
      </c>
      <c r="H138">
        <v>2000</v>
      </c>
      <c r="I138">
        <v>800</v>
      </c>
      <c r="J138">
        <v>25</v>
      </c>
      <c r="K138">
        <f>Claim[[#This Row],[Monto de prima]]-SUM(Claim[[#This Row],[Costo el reclamo]:[Costo de delivery]])</f>
        <v>1175</v>
      </c>
      <c r="L138" t="s">
        <v>9</v>
      </c>
      <c r="M138" t="s">
        <v>15</v>
      </c>
    </row>
    <row r="139" spans="2:13" x14ac:dyDescent="0.35">
      <c r="B139">
        <v>135</v>
      </c>
      <c r="C139">
        <v>4344</v>
      </c>
      <c r="D139" s="1">
        <v>42527</v>
      </c>
      <c r="E139" s="1">
        <v>42892</v>
      </c>
      <c r="F139" t="s">
        <v>4</v>
      </c>
      <c r="G139" t="s">
        <v>2</v>
      </c>
      <c r="H139">
        <v>1000</v>
      </c>
      <c r="I139">
        <v>550</v>
      </c>
      <c r="J139">
        <v>50</v>
      </c>
      <c r="K139">
        <f>Claim[[#This Row],[Monto de prima]]-SUM(Claim[[#This Row],[Costo el reclamo]:[Costo de delivery]])</f>
        <v>400</v>
      </c>
      <c r="L139" t="s">
        <v>11</v>
      </c>
      <c r="M139" t="s">
        <v>18</v>
      </c>
    </row>
    <row r="140" spans="2:13" x14ac:dyDescent="0.35">
      <c r="B140">
        <v>136</v>
      </c>
      <c r="C140">
        <v>1234</v>
      </c>
      <c r="D140" s="1">
        <v>40249</v>
      </c>
      <c r="E140" s="1">
        <v>43414</v>
      </c>
      <c r="F140" t="s">
        <v>4</v>
      </c>
      <c r="G140" t="s">
        <v>3</v>
      </c>
      <c r="H140">
        <v>1000</v>
      </c>
      <c r="I140">
        <v>550</v>
      </c>
      <c r="J140">
        <v>80</v>
      </c>
      <c r="K140">
        <f>Claim[[#This Row],[Monto de prima]]-SUM(Claim[[#This Row],[Costo el reclamo]:[Costo de delivery]])</f>
        <v>370</v>
      </c>
      <c r="L140" t="s">
        <v>11</v>
      </c>
      <c r="M140" t="s">
        <v>18</v>
      </c>
    </row>
    <row r="141" spans="2:13" x14ac:dyDescent="0.35">
      <c r="B141">
        <v>137</v>
      </c>
      <c r="C141">
        <v>4220</v>
      </c>
      <c r="D141" s="1">
        <v>43015</v>
      </c>
      <c r="E141" s="1">
        <v>43015</v>
      </c>
      <c r="F141" t="s">
        <v>1</v>
      </c>
      <c r="G141" t="s">
        <v>6</v>
      </c>
      <c r="H141">
        <v>250</v>
      </c>
      <c r="I141">
        <v>450</v>
      </c>
      <c r="J141">
        <v>50</v>
      </c>
      <c r="K141">
        <f>Claim[[#This Row],[Monto de prima]]-SUM(Claim[[#This Row],[Costo el reclamo]:[Costo de delivery]])</f>
        <v>-250</v>
      </c>
      <c r="L141" t="s">
        <v>12</v>
      </c>
      <c r="M141" t="s">
        <v>19</v>
      </c>
    </row>
    <row r="142" spans="2:13" x14ac:dyDescent="0.35">
      <c r="B142">
        <v>138</v>
      </c>
      <c r="C142">
        <v>4909</v>
      </c>
      <c r="D142" s="1">
        <v>42559</v>
      </c>
      <c r="E142" s="1">
        <v>42885</v>
      </c>
      <c r="F142" t="s">
        <v>30</v>
      </c>
      <c r="G142" t="s">
        <v>6</v>
      </c>
      <c r="H142">
        <v>600</v>
      </c>
      <c r="I142">
        <v>200</v>
      </c>
      <c r="J142">
        <v>15</v>
      </c>
      <c r="K142">
        <f>Claim[[#This Row],[Monto de prima]]-SUM(Claim[[#This Row],[Costo el reclamo]:[Costo de delivery]])</f>
        <v>385</v>
      </c>
      <c r="L142" t="s">
        <v>9</v>
      </c>
      <c r="M142" t="s">
        <v>15</v>
      </c>
    </row>
    <row r="143" spans="2:13" x14ac:dyDescent="0.35">
      <c r="B143">
        <v>139</v>
      </c>
      <c r="C143">
        <v>1394</v>
      </c>
      <c r="D143" s="1">
        <v>41918</v>
      </c>
      <c r="E143" s="1">
        <v>43751</v>
      </c>
      <c r="F143" t="s">
        <v>4</v>
      </c>
      <c r="G143" t="s">
        <v>6</v>
      </c>
      <c r="H143">
        <v>1000</v>
      </c>
      <c r="I143">
        <v>550</v>
      </c>
      <c r="J143">
        <v>30</v>
      </c>
      <c r="K143">
        <f>Claim[[#This Row],[Monto de prima]]-SUM(Claim[[#This Row],[Costo el reclamo]:[Costo de delivery]])</f>
        <v>420</v>
      </c>
      <c r="L143" t="s">
        <v>8</v>
      </c>
      <c r="M143" t="s">
        <v>17</v>
      </c>
    </row>
    <row r="144" spans="2:13" x14ac:dyDescent="0.35">
      <c r="B144">
        <v>140</v>
      </c>
      <c r="C144">
        <v>4528</v>
      </c>
      <c r="D144" s="1">
        <v>40375</v>
      </c>
      <c r="E144" s="1">
        <v>43481</v>
      </c>
      <c r="F144" t="s">
        <v>4</v>
      </c>
      <c r="G144" t="s">
        <v>3</v>
      </c>
      <c r="H144">
        <v>1000</v>
      </c>
      <c r="I144">
        <v>550</v>
      </c>
      <c r="J144">
        <v>80</v>
      </c>
      <c r="K144">
        <f>Claim[[#This Row],[Monto de prima]]-SUM(Claim[[#This Row],[Costo el reclamo]:[Costo de delivery]])</f>
        <v>370</v>
      </c>
      <c r="L144" t="s">
        <v>7</v>
      </c>
      <c r="M144" t="s">
        <v>16</v>
      </c>
    </row>
    <row r="145" spans="2:13" x14ac:dyDescent="0.35">
      <c r="B145">
        <v>141</v>
      </c>
      <c r="C145">
        <v>3216</v>
      </c>
      <c r="D145" s="1">
        <v>42561</v>
      </c>
      <c r="E145" s="1">
        <v>42605</v>
      </c>
      <c r="F145" t="s">
        <v>1</v>
      </c>
      <c r="G145" t="s">
        <v>5</v>
      </c>
      <c r="H145">
        <v>250</v>
      </c>
      <c r="I145">
        <v>450</v>
      </c>
      <c r="J145">
        <v>100</v>
      </c>
      <c r="K145">
        <f>Claim[[#This Row],[Monto de prima]]-SUM(Claim[[#This Row],[Costo el reclamo]:[Costo de delivery]])</f>
        <v>-300</v>
      </c>
      <c r="L145" t="s">
        <v>9</v>
      </c>
      <c r="M145" t="s">
        <v>15</v>
      </c>
    </row>
    <row r="146" spans="2:13" x14ac:dyDescent="0.35">
      <c r="B146">
        <v>142</v>
      </c>
      <c r="C146">
        <v>1091</v>
      </c>
      <c r="D146" s="1">
        <v>41500</v>
      </c>
      <c r="E146" s="1">
        <v>42308</v>
      </c>
      <c r="F146" t="s">
        <v>30</v>
      </c>
      <c r="G146" t="s">
        <v>2</v>
      </c>
      <c r="H146">
        <v>600</v>
      </c>
      <c r="I146">
        <v>200</v>
      </c>
      <c r="J146">
        <v>35</v>
      </c>
      <c r="K146">
        <f>Claim[[#This Row],[Monto de prima]]-SUM(Claim[[#This Row],[Costo el reclamo]:[Costo de delivery]])</f>
        <v>365</v>
      </c>
      <c r="L146" t="s">
        <v>8</v>
      </c>
      <c r="M146" t="s">
        <v>17</v>
      </c>
    </row>
    <row r="147" spans="2:13" x14ac:dyDescent="0.35">
      <c r="B147">
        <v>143</v>
      </c>
      <c r="C147">
        <v>4623</v>
      </c>
      <c r="D147" s="1">
        <v>40903</v>
      </c>
      <c r="E147" s="1">
        <v>41471</v>
      </c>
      <c r="F147" t="s">
        <v>31</v>
      </c>
      <c r="G147" t="s">
        <v>3</v>
      </c>
      <c r="H147">
        <v>2000</v>
      </c>
      <c r="I147">
        <v>800</v>
      </c>
      <c r="J147">
        <v>30</v>
      </c>
      <c r="K147">
        <f>Claim[[#This Row],[Monto de prima]]-SUM(Claim[[#This Row],[Costo el reclamo]:[Costo de delivery]])</f>
        <v>1170</v>
      </c>
      <c r="L147" t="s">
        <v>10</v>
      </c>
      <c r="M147" t="s">
        <v>16</v>
      </c>
    </row>
    <row r="148" spans="2:13" x14ac:dyDescent="0.35">
      <c r="B148">
        <v>144</v>
      </c>
      <c r="C148">
        <v>4026</v>
      </c>
      <c r="D148" s="1">
        <v>42573</v>
      </c>
      <c r="E148" s="1">
        <v>42573</v>
      </c>
      <c r="F148" t="s">
        <v>4</v>
      </c>
      <c r="G148" t="s">
        <v>5</v>
      </c>
      <c r="H148">
        <v>1000</v>
      </c>
      <c r="I148">
        <v>550</v>
      </c>
      <c r="J148">
        <v>50</v>
      </c>
      <c r="K148">
        <f>Claim[[#This Row],[Monto de prima]]-SUM(Claim[[#This Row],[Costo el reclamo]:[Costo de delivery]])</f>
        <v>400</v>
      </c>
      <c r="L148" t="s">
        <v>8</v>
      </c>
      <c r="M148" t="s">
        <v>17</v>
      </c>
    </row>
    <row r="149" spans="2:13" x14ac:dyDescent="0.35">
      <c r="B149">
        <v>145</v>
      </c>
      <c r="C149">
        <v>3906</v>
      </c>
      <c r="D149" s="1">
        <v>42622</v>
      </c>
      <c r="E149" s="1">
        <v>43651</v>
      </c>
      <c r="F149" t="s">
        <v>1</v>
      </c>
      <c r="G149" t="s">
        <v>2</v>
      </c>
      <c r="H149">
        <v>250</v>
      </c>
      <c r="I149">
        <v>450</v>
      </c>
      <c r="J149">
        <v>30</v>
      </c>
      <c r="K149">
        <f>Claim[[#This Row],[Monto de prima]]-SUM(Claim[[#This Row],[Costo el reclamo]:[Costo de delivery]])</f>
        <v>-230</v>
      </c>
      <c r="L149" t="s">
        <v>7</v>
      </c>
      <c r="M149" t="s">
        <v>16</v>
      </c>
    </row>
    <row r="150" spans="2:13" x14ac:dyDescent="0.35">
      <c r="B150">
        <v>146</v>
      </c>
      <c r="C150">
        <v>4599</v>
      </c>
      <c r="D150" s="1">
        <v>41110</v>
      </c>
      <c r="E150" s="1">
        <v>41590</v>
      </c>
      <c r="F150" t="s">
        <v>1</v>
      </c>
      <c r="G150" t="s">
        <v>5</v>
      </c>
      <c r="H150">
        <v>250</v>
      </c>
      <c r="I150">
        <v>450</v>
      </c>
      <c r="J150">
        <v>100</v>
      </c>
      <c r="K150">
        <f>Claim[[#This Row],[Monto de prima]]-SUM(Claim[[#This Row],[Costo el reclamo]:[Costo de delivery]])</f>
        <v>-300</v>
      </c>
      <c r="L150" t="s">
        <v>10</v>
      </c>
      <c r="M150" t="s">
        <v>16</v>
      </c>
    </row>
    <row r="151" spans="2:13" x14ac:dyDescent="0.35">
      <c r="B151">
        <v>147</v>
      </c>
      <c r="C151">
        <v>1697</v>
      </c>
      <c r="D151" s="1">
        <v>41114</v>
      </c>
      <c r="E151" s="1">
        <v>42106</v>
      </c>
      <c r="F151" t="s">
        <v>1</v>
      </c>
      <c r="G151" t="s">
        <v>5</v>
      </c>
      <c r="H151">
        <v>250</v>
      </c>
      <c r="I151">
        <v>450</v>
      </c>
      <c r="J151">
        <v>100</v>
      </c>
      <c r="K151">
        <f>Claim[[#This Row],[Monto de prima]]-SUM(Claim[[#This Row],[Costo el reclamo]:[Costo de delivery]])</f>
        <v>-300</v>
      </c>
      <c r="L151" t="s">
        <v>8</v>
      </c>
      <c r="M151" t="s">
        <v>17</v>
      </c>
    </row>
    <row r="152" spans="2:13" x14ac:dyDescent="0.35">
      <c r="B152">
        <v>148</v>
      </c>
      <c r="C152">
        <v>3564</v>
      </c>
      <c r="D152" s="1">
        <v>41940</v>
      </c>
      <c r="E152" s="1">
        <v>42051</v>
      </c>
      <c r="F152" t="s">
        <v>1</v>
      </c>
      <c r="G152" t="s">
        <v>3</v>
      </c>
      <c r="H152">
        <v>250</v>
      </c>
      <c r="I152">
        <v>450</v>
      </c>
      <c r="J152">
        <v>80</v>
      </c>
      <c r="K152">
        <f>Claim[[#This Row],[Monto de prima]]-SUM(Claim[[#This Row],[Costo el reclamo]:[Costo de delivery]])</f>
        <v>-280</v>
      </c>
      <c r="L152" t="s">
        <v>8</v>
      </c>
      <c r="M152" t="s">
        <v>17</v>
      </c>
    </row>
    <row r="153" spans="2:13" x14ac:dyDescent="0.35">
      <c r="B153">
        <v>149</v>
      </c>
      <c r="C153">
        <v>1178</v>
      </c>
      <c r="D153" s="1">
        <v>42727</v>
      </c>
      <c r="E153" s="1">
        <v>43056</v>
      </c>
      <c r="F153" t="s">
        <v>4</v>
      </c>
      <c r="G153" t="s">
        <v>3</v>
      </c>
      <c r="H153">
        <v>1000</v>
      </c>
      <c r="I153">
        <v>550</v>
      </c>
      <c r="J153">
        <v>80</v>
      </c>
      <c r="K153">
        <f>Claim[[#This Row],[Monto de prima]]-SUM(Claim[[#This Row],[Costo el reclamo]:[Costo de delivery]])</f>
        <v>370</v>
      </c>
      <c r="L153" t="s">
        <v>7</v>
      </c>
      <c r="M153" t="s">
        <v>16</v>
      </c>
    </row>
    <row r="154" spans="2:13" x14ac:dyDescent="0.35">
      <c r="B154">
        <v>150</v>
      </c>
      <c r="C154">
        <v>4992</v>
      </c>
      <c r="D154" s="1">
        <v>42861</v>
      </c>
      <c r="E154" s="1">
        <v>42997</v>
      </c>
      <c r="F154" t="s">
        <v>4</v>
      </c>
      <c r="G154" t="s">
        <v>6</v>
      </c>
      <c r="H154">
        <v>1000</v>
      </c>
      <c r="I154">
        <v>550</v>
      </c>
      <c r="J154">
        <v>30</v>
      </c>
      <c r="K154">
        <f>Claim[[#This Row],[Monto de prima]]-SUM(Claim[[#This Row],[Costo el reclamo]:[Costo de delivery]])</f>
        <v>420</v>
      </c>
      <c r="L154" t="s">
        <v>11</v>
      </c>
      <c r="M154" t="s">
        <v>18</v>
      </c>
    </row>
    <row r="155" spans="2:13" x14ac:dyDescent="0.35">
      <c r="B155">
        <v>151</v>
      </c>
      <c r="C155">
        <v>2043</v>
      </c>
      <c r="D155" s="1">
        <v>41693</v>
      </c>
      <c r="E155" s="1">
        <v>42737</v>
      </c>
      <c r="F155" t="s">
        <v>1</v>
      </c>
      <c r="G155" t="s">
        <v>2</v>
      </c>
      <c r="H155">
        <v>250</v>
      </c>
      <c r="I155">
        <v>450</v>
      </c>
      <c r="J155">
        <v>30</v>
      </c>
      <c r="K155">
        <f>Claim[[#This Row],[Monto de prima]]-SUM(Claim[[#This Row],[Costo el reclamo]:[Costo de delivery]])</f>
        <v>-230</v>
      </c>
      <c r="L155" t="s">
        <v>9</v>
      </c>
      <c r="M155" t="s">
        <v>15</v>
      </c>
    </row>
    <row r="156" spans="2:13" x14ac:dyDescent="0.35">
      <c r="B156">
        <v>152</v>
      </c>
      <c r="C156">
        <v>3918</v>
      </c>
      <c r="D156" s="1">
        <v>42402</v>
      </c>
      <c r="E156" s="1">
        <v>42402</v>
      </c>
      <c r="F156" t="s">
        <v>30</v>
      </c>
      <c r="G156" t="s">
        <v>3</v>
      </c>
      <c r="H156">
        <v>600</v>
      </c>
      <c r="I156">
        <v>200</v>
      </c>
      <c r="J156">
        <v>20</v>
      </c>
      <c r="K156">
        <f>Claim[[#This Row],[Monto de prima]]-SUM(Claim[[#This Row],[Costo el reclamo]:[Costo de delivery]])</f>
        <v>380</v>
      </c>
      <c r="L156" t="s">
        <v>12</v>
      </c>
      <c r="M156" t="s">
        <v>19</v>
      </c>
    </row>
    <row r="157" spans="2:13" x14ac:dyDescent="0.35">
      <c r="B157">
        <v>153</v>
      </c>
      <c r="C157">
        <v>3932</v>
      </c>
      <c r="D157" s="1">
        <v>42874</v>
      </c>
      <c r="E157" s="1">
        <v>42874</v>
      </c>
      <c r="F157" t="s">
        <v>1</v>
      </c>
      <c r="G157" t="s">
        <v>6</v>
      </c>
      <c r="H157">
        <v>250</v>
      </c>
      <c r="I157">
        <v>450</v>
      </c>
      <c r="J157">
        <v>50</v>
      </c>
      <c r="K157">
        <f>Claim[[#This Row],[Monto de prima]]-SUM(Claim[[#This Row],[Costo el reclamo]:[Costo de delivery]])</f>
        <v>-250</v>
      </c>
      <c r="L157" t="s">
        <v>7</v>
      </c>
      <c r="M157" t="s">
        <v>16</v>
      </c>
    </row>
    <row r="158" spans="2:13" x14ac:dyDescent="0.35">
      <c r="B158">
        <v>154</v>
      </c>
      <c r="C158">
        <v>4394</v>
      </c>
      <c r="D158" s="1">
        <v>42865</v>
      </c>
      <c r="E158" s="1">
        <v>43434</v>
      </c>
      <c r="F158" t="s">
        <v>1</v>
      </c>
      <c r="G158" t="s">
        <v>5</v>
      </c>
      <c r="H158">
        <v>250</v>
      </c>
      <c r="I158">
        <v>450</v>
      </c>
      <c r="J158">
        <v>100</v>
      </c>
      <c r="K158">
        <f>Claim[[#This Row],[Monto de prima]]-SUM(Claim[[#This Row],[Costo el reclamo]:[Costo de delivery]])</f>
        <v>-300</v>
      </c>
      <c r="L158" t="s">
        <v>8</v>
      </c>
      <c r="M158" t="s">
        <v>17</v>
      </c>
    </row>
    <row r="159" spans="2:13" x14ac:dyDescent="0.35">
      <c r="B159">
        <v>155</v>
      </c>
      <c r="C159">
        <v>2727</v>
      </c>
      <c r="D159" s="1">
        <v>40629</v>
      </c>
      <c r="E159" s="1">
        <v>41141</v>
      </c>
      <c r="F159" t="s">
        <v>4</v>
      </c>
      <c r="G159" t="s">
        <v>2</v>
      </c>
      <c r="H159">
        <v>1000</v>
      </c>
      <c r="I159">
        <v>550</v>
      </c>
      <c r="J159">
        <v>50</v>
      </c>
      <c r="K159">
        <f>Claim[[#This Row],[Monto de prima]]-SUM(Claim[[#This Row],[Costo el reclamo]:[Costo de delivery]])</f>
        <v>400</v>
      </c>
      <c r="L159" t="s">
        <v>8</v>
      </c>
      <c r="M159" t="s">
        <v>17</v>
      </c>
    </row>
    <row r="160" spans="2:13" x14ac:dyDescent="0.35">
      <c r="B160">
        <v>156</v>
      </c>
      <c r="C160">
        <v>4283</v>
      </c>
      <c r="D160" s="1">
        <v>40428</v>
      </c>
      <c r="E160" s="1">
        <v>43802</v>
      </c>
      <c r="F160" t="s">
        <v>4</v>
      </c>
      <c r="G160" t="s">
        <v>6</v>
      </c>
      <c r="H160">
        <v>1000</v>
      </c>
      <c r="I160">
        <v>550</v>
      </c>
      <c r="J160">
        <v>30</v>
      </c>
      <c r="K160">
        <f>Claim[[#This Row],[Monto de prima]]-SUM(Claim[[#This Row],[Costo el reclamo]:[Costo de delivery]])</f>
        <v>420</v>
      </c>
      <c r="L160" t="s">
        <v>12</v>
      </c>
      <c r="M160" t="s">
        <v>19</v>
      </c>
    </row>
    <row r="161" spans="2:13" x14ac:dyDescent="0.35">
      <c r="B161">
        <v>157</v>
      </c>
      <c r="C161">
        <v>4680</v>
      </c>
      <c r="D161" s="1">
        <v>42092</v>
      </c>
      <c r="E161" s="1">
        <v>42092</v>
      </c>
      <c r="F161" t="s">
        <v>1</v>
      </c>
      <c r="G161" t="s">
        <v>5</v>
      </c>
      <c r="H161">
        <v>250</v>
      </c>
      <c r="I161">
        <v>450</v>
      </c>
      <c r="J161">
        <v>100</v>
      </c>
      <c r="K161">
        <f>Claim[[#This Row],[Monto de prima]]-SUM(Claim[[#This Row],[Costo el reclamo]:[Costo de delivery]])</f>
        <v>-300</v>
      </c>
      <c r="L161" t="s">
        <v>7</v>
      </c>
      <c r="M161" t="s">
        <v>16</v>
      </c>
    </row>
    <row r="162" spans="2:13" x14ac:dyDescent="0.35">
      <c r="B162">
        <v>158</v>
      </c>
      <c r="C162">
        <v>4579</v>
      </c>
      <c r="D162" s="1">
        <v>42354</v>
      </c>
      <c r="E162" s="1">
        <v>42354</v>
      </c>
      <c r="F162" t="s">
        <v>1</v>
      </c>
      <c r="G162" t="s">
        <v>2</v>
      </c>
      <c r="H162">
        <v>250</v>
      </c>
      <c r="I162">
        <v>450</v>
      </c>
      <c r="J162">
        <v>30</v>
      </c>
      <c r="K162">
        <f>Claim[[#This Row],[Monto de prima]]-SUM(Claim[[#This Row],[Costo el reclamo]:[Costo de delivery]])</f>
        <v>-230</v>
      </c>
      <c r="L162" t="s">
        <v>7</v>
      </c>
      <c r="M162" t="s">
        <v>16</v>
      </c>
    </row>
    <row r="163" spans="2:13" x14ac:dyDescent="0.35">
      <c r="B163">
        <v>159</v>
      </c>
      <c r="C163">
        <v>3384</v>
      </c>
      <c r="D163" s="1">
        <v>42692</v>
      </c>
      <c r="E163" s="1">
        <v>42692</v>
      </c>
      <c r="F163" t="s">
        <v>1</v>
      </c>
      <c r="G163" t="s">
        <v>3</v>
      </c>
      <c r="H163">
        <v>250</v>
      </c>
      <c r="I163">
        <v>450</v>
      </c>
      <c r="J163">
        <v>80</v>
      </c>
      <c r="K163">
        <f>Claim[[#This Row],[Monto de prima]]-SUM(Claim[[#This Row],[Costo el reclamo]:[Costo de delivery]])</f>
        <v>-280</v>
      </c>
      <c r="L163" t="s">
        <v>7</v>
      </c>
      <c r="M163" t="s">
        <v>16</v>
      </c>
    </row>
    <row r="164" spans="2:13" x14ac:dyDescent="0.35">
      <c r="B164">
        <v>160</v>
      </c>
      <c r="C164">
        <v>2737</v>
      </c>
      <c r="D164" s="1">
        <v>42135</v>
      </c>
      <c r="E164" s="1">
        <v>42135</v>
      </c>
      <c r="F164" t="s">
        <v>31</v>
      </c>
      <c r="G164" t="s">
        <v>3</v>
      </c>
      <c r="H164">
        <v>2000</v>
      </c>
      <c r="I164">
        <v>800</v>
      </c>
      <c r="J164">
        <v>30</v>
      </c>
      <c r="K164">
        <f>Claim[[#This Row],[Monto de prima]]-SUM(Claim[[#This Row],[Costo el reclamo]:[Costo de delivery]])</f>
        <v>1170</v>
      </c>
      <c r="L164" t="s">
        <v>7</v>
      </c>
      <c r="M164" t="s">
        <v>16</v>
      </c>
    </row>
    <row r="165" spans="2:13" x14ac:dyDescent="0.35">
      <c r="B165">
        <v>161</v>
      </c>
      <c r="C165">
        <v>2662</v>
      </c>
      <c r="D165" s="1">
        <v>41777</v>
      </c>
      <c r="E165" s="1">
        <v>42103</v>
      </c>
      <c r="F165" t="s">
        <v>30</v>
      </c>
      <c r="G165" t="s">
        <v>6</v>
      </c>
      <c r="H165">
        <v>600</v>
      </c>
      <c r="I165">
        <v>200</v>
      </c>
      <c r="J165">
        <v>15</v>
      </c>
      <c r="K165">
        <f>Claim[[#This Row],[Monto de prima]]-SUM(Claim[[#This Row],[Costo el reclamo]:[Costo de delivery]])</f>
        <v>385</v>
      </c>
      <c r="L165" t="s">
        <v>10</v>
      </c>
      <c r="M165" t="s">
        <v>16</v>
      </c>
    </row>
    <row r="166" spans="2:13" x14ac:dyDescent="0.35">
      <c r="B166">
        <v>162</v>
      </c>
      <c r="C166">
        <v>4176</v>
      </c>
      <c r="D166" s="1">
        <v>41709</v>
      </c>
      <c r="E166" s="1">
        <v>41709</v>
      </c>
      <c r="F166" t="s">
        <v>30</v>
      </c>
      <c r="G166" t="s">
        <v>2</v>
      </c>
      <c r="H166">
        <v>600</v>
      </c>
      <c r="I166">
        <v>200</v>
      </c>
      <c r="J166">
        <v>35</v>
      </c>
      <c r="K166">
        <f>Claim[[#This Row],[Monto de prima]]-SUM(Claim[[#This Row],[Costo el reclamo]:[Costo de delivery]])</f>
        <v>365</v>
      </c>
      <c r="L166" t="s">
        <v>11</v>
      </c>
      <c r="M166" t="s">
        <v>18</v>
      </c>
    </row>
    <row r="167" spans="2:13" x14ac:dyDescent="0.35">
      <c r="B167">
        <v>163</v>
      </c>
      <c r="C167">
        <v>4396</v>
      </c>
      <c r="D167" s="1">
        <v>41932</v>
      </c>
      <c r="E167" s="1">
        <v>42905</v>
      </c>
      <c r="F167" t="s">
        <v>1</v>
      </c>
      <c r="G167" t="s">
        <v>6</v>
      </c>
      <c r="H167">
        <v>250</v>
      </c>
      <c r="I167">
        <v>450</v>
      </c>
      <c r="J167">
        <v>50</v>
      </c>
      <c r="K167">
        <f>Claim[[#This Row],[Monto de prima]]-SUM(Claim[[#This Row],[Costo el reclamo]:[Costo de delivery]])</f>
        <v>-250</v>
      </c>
      <c r="L167" t="s">
        <v>8</v>
      </c>
      <c r="M167" t="s">
        <v>17</v>
      </c>
    </row>
    <row r="168" spans="2:13" x14ac:dyDescent="0.35">
      <c r="B168">
        <v>164</v>
      </c>
      <c r="C168">
        <v>3959</v>
      </c>
      <c r="D168" s="1">
        <v>41552</v>
      </c>
      <c r="E168" s="1">
        <v>43781</v>
      </c>
      <c r="F168" t="s">
        <v>30</v>
      </c>
      <c r="G168" t="s">
        <v>6</v>
      </c>
      <c r="H168">
        <v>600</v>
      </c>
      <c r="I168">
        <v>200</v>
      </c>
      <c r="J168">
        <v>15</v>
      </c>
      <c r="K168">
        <f>Claim[[#This Row],[Monto de prima]]-SUM(Claim[[#This Row],[Costo el reclamo]:[Costo de delivery]])</f>
        <v>385</v>
      </c>
      <c r="L168" t="s">
        <v>7</v>
      </c>
      <c r="M168" t="s">
        <v>16</v>
      </c>
    </row>
    <row r="169" spans="2:13" x14ac:dyDescent="0.35">
      <c r="B169">
        <v>165</v>
      </c>
      <c r="C169">
        <v>2325</v>
      </c>
      <c r="D169" s="1">
        <v>41447</v>
      </c>
      <c r="E169" s="1">
        <v>41447</v>
      </c>
      <c r="F169" t="s">
        <v>30</v>
      </c>
      <c r="G169" t="s">
        <v>2</v>
      </c>
      <c r="H169">
        <v>600</v>
      </c>
      <c r="I169">
        <v>200</v>
      </c>
      <c r="J169">
        <v>35</v>
      </c>
      <c r="K169">
        <f>Claim[[#This Row],[Monto de prima]]-SUM(Claim[[#This Row],[Costo el reclamo]:[Costo de delivery]])</f>
        <v>365</v>
      </c>
      <c r="L169" t="s">
        <v>12</v>
      </c>
      <c r="M169" t="s">
        <v>19</v>
      </c>
    </row>
    <row r="170" spans="2:13" x14ac:dyDescent="0.35">
      <c r="B170">
        <v>166</v>
      </c>
      <c r="C170">
        <v>4869</v>
      </c>
      <c r="D170" s="1">
        <v>43166</v>
      </c>
      <c r="E170" s="1">
        <v>43595</v>
      </c>
      <c r="F170" t="s">
        <v>30</v>
      </c>
      <c r="G170" t="s">
        <v>5</v>
      </c>
      <c r="H170">
        <v>600</v>
      </c>
      <c r="I170">
        <v>200</v>
      </c>
      <c r="J170">
        <v>50</v>
      </c>
      <c r="K170">
        <f>Claim[[#This Row],[Monto de prima]]-SUM(Claim[[#This Row],[Costo el reclamo]:[Costo de delivery]])</f>
        <v>350</v>
      </c>
      <c r="L170" t="s">
        <v>11</v>
      </c>
      <c r="M170" t="s">
        <v>18</v>
      </c>
    </row>
    <row r="171" spans="2:13" x14ac:dyDescent="0.35">
      <c r="B171">
        <v>167</v>
      </c>
      <c r="C171">
        <v>3006</v>
      </c>
      <c r="D171" s="1">
        <v>40846</v>
      </c>
      <c r="E171" s="1">
        <v>42073</v>
      </c>
      <c r="F171" t="s">
        <v>1</v>
      </c>
      <c r="G171" t="s">
        <v>3</v>
      </c>
      <c r="H171">
        <v>250</v>
      </c>
      <c r="I171">
        <v>450</v>
      </c>
      <c r="J171">
        <v>80</v>
      </c>
      <c r="K171">
        <f>Claim[[#This Row],[Monto de prima]]-SUM(Claim[[#This Row],[Costo el reclamo]:[Costo de delivery]])</f>
        <v>-280</v>
      </c>
      <c r="L171" t="s">
        <v>11</v>
      </c>
      <c r="M171" t="s">
        <v>18</v>
      </c>
    </row>
    <row r="172" spans="2:13" x14ac:dyDescent="0.35">
      <c r="B172">
        <v>168</v>
      </c>
      <c r="C172">
        <v>1331</v>
      </c>
      <c r="D172" s="1">
        <v>41406</v>
      </c>
      <c r="E172" s="1">
        <v>41814</v>
      </c>
      <c r="F172" t="s">
        <v>4</v>
      </c>
      <c r="G172" t="s">
        <v>6</v>
      </c>
      <c r="H172">
        <v>1000</v>
      </c>
      <c r="I172">
        <v>550</v>
      </c>
      <c r="J172">
        <v>30</v>
      </c>
      <c r="K172">
        <f>Claim[[#This Row],[Monto de prima]]-SUM(Claim[[#This Row],[Costo el reclamo]:[Costo de delivery]])</f>
        <v>420</v>
      </c>
      <c r="L172" t="s">
        <v>10</v>
      </c>
      <c r="M172" t="s">
        <v>16</v>
      </c>
    </row>
    <row r="173" spans="2:13" x14ac:dyDescent="0.35">
      <c r="B173">
        <v>169</v>
      </c>
      <c r="C173">
        <v>1861</v>
      </c>
      <c r="D173" s="1">
        <v>40761</v>
      </c>
      <c r="E173" s="1">
        <v>43689</v>
      </c>
      <c r="F173" t="s">
        <v>30</v>
      </c>
      <c r="G173" t="s">
        <v>6</v>
      </c>
      <c r="H173">
        <v>600</v>
      </c>
      <c r="I173">
        <v>200</v>
      </c>
      <c r="J173">
        <v>15</v>
      </c>
      <c r="K173">
        <f>Claim[[#This Row],[Monto de prima]]-SUM(Claim[[#This Row],[Costo el reclamo]:[Costo de delivery]])</f>
        <v>385</v>
      </c>
      <c r="L173" t="s">
        <v>9</v>
      </c>
      <c r="M173" t="s">
        <v>15</v>
      </c>
    </row>
    <row r="174" spans="2:13" x14ac:dyDescent="0.35">
      <c r="B174">
        <v>170</v>
      </c>
      <c r="C174">
        <v>3938</v>
      </c>
      <c r="D174" s="1">
        <v>40872</v>
      </c>
      <c r="E174" s="1">
        <v>42689</v>
      </c>
      <c r="F174" t="s">
        <v>30</v>
      </c>
      <c r="G174" t="s">
        <v>3</v>
      </c>
      <c r="H174">
        <v>600</v>
      </c>
      <c r="I174">
        <v>200</v>
      </c>
      <c r="J174">
        <v>20</v>
      </c>
      <c r="K174">
        <f>Claim[[#This Row],[Monto de prima]]-SUM(Claim[[#This Row],[Costo el reclamo]:[Costo de delivery]])</f>
        <v>380</v>
      </c>
      <c r="L174" t="s">
        <v>8</v>
      </c>
      <c r="M174" t="s">
        <v>17</v>
      </c>
    </row>
    <row r="175" spans="2:13" x14ac:dyDescent="0.35">
      <c r="B175">
        <v>171</v>
      </c>
      <c r="C175">
        <v>1037</v>
      </c>
      <c r="D175" s="1">
        <v>41335</v>
      </c>
      <c r="E175" s="1">
        <v>42857</v>
      </c>
      <c r="F175" t="s">
        <v>30</v>
      </c>
      <c r="G175" t="s">
        <v>6</v>
      </c>
      <c r="H175">
        <v>600</v>
      </c>
      <c r="I175">
        <v>200</v>
      </c>
      <c r="J175">
        <v>15</v>
      </c>
      <c r="K175">
        <f>Claim[[#This Row],[Monto de prima]]-SUM(Claim[[#This Row],[Costo el reclamo]:[Costo de delivery]])</f>
        <v>385</v>
      </c>
      <c r="L175" t="s">
        <v>13</v>
      </c>
      <c r="M175" t="s">
        <v>14</v>
      </c>
    </row>
    <row r="176" spans="2:13" x14ac:dyDescent="0.35">
      <c r="B176">
        <v>172</v>
      </c>
      <c r="C176">
        <v>1221</v>
      </c>
      <c r="D176" s="1">
        <v>43206</v>
      </c>
      <c r="E176" s="1">
        <v>43435</v>
      </c>
      <c r="F176" t="s">
        <v>1</v>
      </c>
      <c r="G176" t="s">
        <v>3</v>
      </c>
      <c r="H176">
        <v>250</v>
      </c>
      <c r="I176">
        <v>450</v>
      </c>
      <c r="J176">
        <v>80</v>
      </c>
      <c r="K176">
        <f>Claim[[#This Row],[Monto de prima]]-SUM(Claim[[#This Row],[Costo el reclamo]:[Costo de delivery]])</f>
        <v>-280</v>
      </c>
      <c r="L176" t="s">
        <v>10</v>
      </c>
      <c r="M176" t="s">
        <v>16</v>
      </c>
    </row>
    <row r="177" spans="2:13" x14ac:dyDescent="0.35">
      <c r="B177">
        <v>173</v>
      </c>
      <c r="C177">
        <v>4321</v>
      </c>
      <c r="D177" s="1">
        <v>42545</v>
      </c>
      <c r="E177" s="1">
        <v>42545</v>
      </c>
      <c r="F177" t="s">
        <v>30</v>
      </c>
      <c r="G177" t="s">
        <v>5</v>
      </c>
      <c r="H177">
        <v>600</v>
      </c>
      <c r="I177">
        <v>200</v>
      </c>
      <c r="J177">
        <v>50</v>
      </c>
      <c r="K177">
        <f>Claim[[#This Row],[Monto de prima]]-SUM(Claim[[#This Row],[Costo el reclamo]:[Costo de delivery]])</f>
        <v>350</v>
      </c>
      <c r="L177" t="s">
        <v>13</v>
      </c>
      <c r="M177" t="s">
        <v>14</v>
      </c>
    </row>
    <row r="178" spans="2:13" x14ac:dyDescent="0.35">
      <c r="B178">
        <v>174</v>
      </c>
      <c r="C178">
        <v>4835</v>
      </c>
      <c r="D178" s="1">
        <v>41287</v>
      </c>
      <c r="E178" s="1">
        <v>41990</v>
      </c>
      <c r="F178" t="s">
        <v>4</v>
      </c>
      <c r="G178" t="s">
        <v>5</v>
      </c>
      <c r="H178">
        <v>1000</v>
      </c>
      <c r="I178">
        <v>550</v>
      </c>
      <c r="J178">
        <v>50</v>
      </c>
      <c r="K178">
        <f>Claim[[#This Row],[Monto de prima]]-SUM(Claim[[#This Row],[Costo el reclamo]:[Costo de delivery]])</f>
        <v>400</v>
      </c>
      <c r="L178" t="s">
        <v>9</v>
      </c>
      <c r="M178" t="s">
        <v>15</v>
      </c>
    </row>
    <row r="179" spans="2:13" x14ac:dyDescent="0.35">
      <c r="B179">
        <v>175</v>
      </c>
      <c r="C179">
        <v>1672</v>
      </c>
      <c r="D179" s="1">
        <v>42591</v>
      </c>
      <c r="E179" s="1">
        <v>42591</v>
      </c>
      <c r="F179" t="s">
        <v>1</v>
      </c>
      <c r="G179" t="s">
        <v>5</v>
      </c>
      <c r="H179">
        <v>250</v>
      </c>
      <c r="I179">
        <v>450</v>
      </c>
      <c r="J179">
        <v>100</v>
      </c>
      <c r="K179">
        <f>Claim[[#This Row],[Monto de prima]]-SUM(Claim[[#This Row],[Costo el reclamo]:[Costo de delivery]])</f>
        <v>-300</v>
      </c>
      <c r="L179" t="s">
        <v>12</v>
      </c>
      <c r="M179" t="s">
        <v>19</v>
      </c>
    </row>
    <row r="180" spans="2:13" x14ac:dyDescent="0.35">
      <c r="B180">
        <v>176</v>
      </c>
      <c r="C180">
        <v>3060</v>
      </c>
      <c r="D180" s="1">
        <v>40300</v>
      </c>
      <c r="E180" s="1">
        <v>41518</v>
      </c>
      <c r="F180" t="s">
        <v>31</v>
      </c>
      <c r="G180" t="s">
        <v>6</v>
      </c>
      <c r="H180">
        <v>2000</v>
      </c>
      <c r="I180">
        <v>800</v>
      </c>
      <c r="J180">
        <v>20</v>
      </c>
      <c r="K180">
        <f>Claim[[#This Row],[Monto de prima]]-SUM(Claim[[#This Row],[Costo el reclamo]:[Costo de delivery]])</f>
        <v>1180</v>
      </c>
      <c r="L180" t="s">
        <v>10</v>
      </c>
      <c r="M180" t="s">
        <v>16</v>
      </c>
    </row>
    <row r="181" spans="2:13" x14ac:dyDescent="0.35">
      <c r="B181">
        <v>177</v>
      </c>
      <c r="C181">
        <v>1640</v>
      </c>
      <c r="D181" s="1">
        <v>41883</v>
      </c>
      <c r="E181" s="1">
        <v>42186</v>
      </c>
      <c r="F181" t="s">
        <v>30</v>
      </c>
      <c r="G181" t="s">
        <v>2</v>
      </c>
      <c r="H181">
        <v>600</v>
      </c>
      <c r="I181">
        <v>200</v>
      </c>
      <c r="J181">
        <v>35</v>
      </c>
      <c r="K181">
        <f>Claim[[#This Row],[Monto de prima]]-SUM(Claim[[#This Row],[Costo el reclamo]:[Costo de delivery]])</f>
        <v>365</v>
      </c>
      <c r="L181" t="s">
        <v>12</v>
      </c>
      <c r="M181" t="s">
        <v>19</v>
      </c>
    </row>
    <row r="182" spans="2:13" x14ac:dyDescent="0.35">
      <c r="B182">
        <v>178</v>
      </c>
      <c r="C182">
        <v>1546</v>
      </c>
      <c r="D182" s="1">
        <v>41268</v>
      </c>
      <c r="E182" s="1">
        <v>42424</v>
      </c>
      <c r="F182" t="s">
        <v>30</v>
      </c>
      <c r="G182" t="s">
        <v>6</v>
      </c>
      <c r="H182">
        <v>600</v>
      </c>
      <c r="I182">
        <v>200</v>
      </c>
      <c r="J182">
        <v>15</v>
      </c>
      <c r="K182">
        <f>Claim[[#This Row],[Monto de prima]]-SUM(Claim[[#This Row],[Costo el reclamo]:[Costo de delivery]])</f>
        <v>385</v>
      </c>
      <c r="L182" t="s">
        <v>11</v>
      </c>
      <c r="M182" t="s">
        <v>18</v>
      </c>
    </row>
    <row r="183" spans="2:13" x14ac:dyDescent="0.35">
      <c r="B183">
        <v>179</v>
      </c>
      <c r="C183">
        <v>1499</v>
      </c>
      <c r="D183" s="1">
        <v>41497</v>
      </c>
      <c r="E183" s="1">
        <v>42873</v>
      </c>
      <c r="F183" t="s">
        <v>1</v>
      </c>
      <c r="G183" t="s">
        <v>2</v>
      </c>
      <c r="H183">
        <v>250</v>
      </c>
      <c r="I183">
        <v>450</v>
      </c>
      <c r="J183">
        <v>30</v>
      </c>
      <c r="K183">
        <f>Claim[[#This Row],[Monto de prima]]-SUM(Claim[[#This Row],[Costo el reclamo]:[Costo de delivery]])</f>
        <v>-230</v>
      </c>
      <c r="L183" t="s">
        <v>12</v>
      </c>
      <c r="M183" t="s">
        <v>19</v>
      </c>
    </row>
    <row r="184" spans="2:13" x14ac:dyDescent="0.35">
      <c r="B184">
        <v>180</v>
      </c>
      <c r="C184">
        <v>1837</v>
      </c>
      <c r="D184" s="1">
        <v>41636</v>
      </c>
      <c r="E184" s="1">
        <v>42017</v>
      </c>
      <c r="F184" t="s">
        <v>4</v>
      </c>
      <c r="G184" t="s">
        <v>2</v>
      </c>
      <c r="H184">
        <v>1000</v>
      </c>
      <c r="I184">
        <v>550</v>
      </c>
      <c r="J184">
        <v>50</v>
      </c>
      <c r="K184">
        <f>Claim[[#This Row],[Monto de prima]]-SUM(Claim[[#This Row],[Costo el reclamo]:[Costo de delivery]])</f>
        <v>400</v>
      </c>
      <c r="L184" t="s">
        <v>7</v>
      </c>
      <c r="M184" t="s">
        <v>16</v>
      </c>
    </row>
    <row r="185" spans="2:13" x14ac:dyDescent="0.35">
      <c r="B185">
        <v>181</v>
      </c>
      <c r="C185">
        <v>4434</v>
      </c>
      <c r="D185" s="1">
        <v>41395</v>
      </c>
      <c r="E185" s="1">
        <v>42841</v>
      </c>
      <c r="F185" t="s">
        <v>31</v>
      </c>
      <c r="G185" t="s">
        <v>2</v>
      </c>
      <c r="H185">
        <v>2000</v>
      </c>
      <c r="I185">
        <v>800</v>
      </c>
      <c r="J185">
        <v>40</v>
      </c>
      <c r="K185">
        <f>Claim[[#This Row],[Monto de prima]]-SUM(Claim[[#This Row],[Costo el reclamo]:[Costo de delivery]])</f>
        <v>1160</v>
      </c>
      <c r="L185" t="s">
        <v>10</v>
      </c>
      <c r="M185" t="s">
        <v>16</v>
      </c>
    </row>
    <row r="186" spans="2:13" x14ac:dyDescent="0.35">
      <c r="B186">
        <v>182</v>
      </c>
      <c r="C186">
        <v>1449</v>
      </c>
      <c r="D186" s="1">
        <v>41226</v>
      </c>
      <c r="E186" s="1">
        <v>41226</v>
      </c>
      <c r="F186" t="s">
        <v>30</v>
      </c>
      <c r="G186" t="s">
        <v>2</v>
      </c>
      <c r="H186">
        <v>600</v>
      </c>
      <c r="I186">
        <v>200</v>
      </c>
      <c r="J186">
        <v>35</v>
      </c>
      <c r="K186">
        <f>Claim[[#This Row],[Monto de prima]]-SUM(Claim[[#This Row],[Costo el reclamo]:[Costo de delivery]])</f>
        <v>365</v>
      </c>
      <c r="L186" t="s">
        <v>7</v>
      </c>
      <c r="M186" t="s">
        <v>16</v>
      </c>
    </row>
    <row r="187" spans="2:13" x14ac:dyDescent="0.35">
      <c r="B187">
        <v>183</v>
      </c>
      <c r="C187">
        <v>1923</v>
      </c>
      <c r="D187" s="1">
        <v>41484</v>
      </c>
      <c r="E187" s="1">
        <v>43756</v>
      </c>
      <c r="F187" t="s">
        <v>30</v>
      </c>
      <c r="G187" t="s">
        <v>2</v>
      </c>
      <c r="H187">
        <v>600</v>
      </c>
      <c r="I187">
        <v>200</v>
      </c>
      <c r="J187">
        <v>35</v>
      </c>
      <c r="K187">
        <f>Claim[[#This Row],[Monto de prima]]-SUM(Claim[[#This Row],[Costo el reclamo]:[Costo de delivery]])</f>
        <v>365</v>
      </c>
      <c r="L187" t="s">
        <v>11</v>
      </c>
      <c r="M187" t="s">
        <v>18</v>
      </c>
    </row>
    <row r="188" spans="2:13" x14ac:dyDescent="0.35">
      <c r="B188">
        <v>184</v>
      </c>
      <c r="C188">
        <v>1849</v>
      </c>
      <c r="D188" s="1">
        <v>41954</v>
      </c>
      <c r="E188" s="1">
        <v>41954</v>
      </c>
      <c r="F188" t="s">
        <v>4</v>
      </c>
      <c r="G188" t="s">
        <v>2</v>
      </c>
      <c r="H188">
        <v>1000</v>
      </c>
      <c r="I188">
        <v>550</v>
      </c>
      <c r="J188">
        <v>50</v>
      </c>
      <c r="K188">
        <f>Claim[[#This Row],[Monto de prima]]-SUM(Claim[[#This Row],[Costo el reclamo]:[Costo de delivery]])</f>
        <v>400</v>
      </c>
      <c r="L188" t="s">
        <v>8</v>
      </c>
      <c r="M188" t="s">
        <v>17</v>
      </c>
    </row>
    <row r="189" spans="2:13" x14ac:dyDescent="0.35">
      <c r="B189">
        <v>185</v>
      </c>
      <c r="C189">
        <v>1126</v>
      </c>
      <c r="D189" s="1">
        <v>42732</v>
      </c>
      <c r="E189" s="1">
        <v>42732</v>
      </c>
      <c r="F189" t="s">
        <v>1</v>
      </c>
      <c r="G189" t="s">
        <v>6</v>
      </c>
      <c r="H189">
        <v>250</v>
      </c>
      <c r="I189">
        <v>450</v>
      </c>
      <c r="J189">
        <v>50</v>
      </c>
      <c r="K189">
        <f>Claim[[#This Row],[Monto de prima]]-SUM(Claim[[#This Row],[Costo el reclamo]:[Costo de delivery]])</f>
        <v>-250</v>
      </c>
      <c r="L189" t="s">
        <v>10</v>
      </c>
      <c r="M189" t="s">
        <v>16</v>
      </c>
    </row>
    <row r="190" spans="2:13" x14ac:dyDescent="0.35">
      <c r="B190">
        <v>186</v>
      </c>
      <c r="C190">
        <v>4121</v>
      </c>
      <c r="D190" s="1">
        <v>40523</v>
      </c>
      <c r="E190" s="1">
        <v>43282</v>
      </c>
      <c r="F190" t="s">
        <v>31</v>
      </c>
      <c r="G190" t="s">
        <v>6</v>
      </c>
      <c r="H190">
        <v>2000</v>
      </c>
      <c r="I190">
        <v>800</v>
      </c>
      <c r="J190">
        <v>20</v>
      </c>
      <c r="K190">
        <f>Claim[[#This Row],[Monto de prima]]-SUM(Claim[[#This Row],[Costo el reclamo]:[Costo de delivery]])</f>
        <v>1180</v>
      </c>
      <c r="L190" t="s">
        <v>11</v>
      </c>
      <c r="M190" t="s">
        <v>18</v>
      </c>
    </row>
    <row r="191" spans="2:13" x14ac:dyDescent="0.35">
      <c r="B191">
        <v>187</v>
      </c>
      <c r="C191">
        <v>1760</v>
      </c>
      <c r="D191" s="1">
        <v>41967</v>
      </c>
      <c r="E191" s="1">
        <v>42054</v>
      </c>
      <c r="F191" t="s">
        <v>30</v>
      </c>
      <c r="G191" t="s">
        <v>2</v>
      </c>
      <c r="H191">
        <v>600</v>
      </c>
      <c r="I191">
        <v>200</v>
      </c>
      <c r="J191">
        <v>35</v>
      </c>
      <c r="K191">
        <f>Claim[[#This Row],[Monto de prima]]-SUM(Claim[[#This Row],[Costo el reclamo]:[Costo de delivery]])</f>
        <v>365</v>
      </c>
      <c r="L191" t="s">
        <v>11</v>
      </c>
      <c r="M191" t="s">
        <v>18</v>
      </c>
    </row>
    <row r="192" spans="2:13" x14ac:dyDescent="0.35">
      <c r="B192">
        <v>188</v>
      </c>
      <c r="C192">
        <v>4548</v>
      </c>
      <c r="D192" s="1">
        <v>42538</v>
      </c>
      <c r="E192" s="1">
        <v>42908</v>
      </c>
      <c r="F192" t="s">
        <v>31</v>
      </c>
      <c r="G192" t="s">
        <v>2</v>
      </c>
      <c r="H192">
        <v>2000</v>
      </c>
      <c r="I192">
        <v>800</v>
      </c>
      <c r="J192">
        <v>40</v>
      </c>
      <c r="K192">
        <f>Claim[[#This Row],[Monto de prima]]-SUM(Claim[[#This Row],[Costo el reclamo]:[Costo de delivery]])</f>
        <v>1160</v>
      </c>
      <c r="L192" t="s">
        <v>11</v>
      </c>
      <c r="M192" t="s">
        <v>18</v>
      </c>
    </row>
    <row r="193" spans="2:13" x14ac:dyDescent="0.35">
      <c r="B193">
        <v>189</v>
      </c>
      <c r="C193">
        <v>2966</v>
      </c>
      <c r="D193" s="1">
        <v>42207</v>
      </c>
      <c r="E193" s="1">
        <v>42412</v>
      </c>
      <c r="F193" t="s">
        <v>4</v>
      </c>
      <c r="G193" t="s">
        <v>6</v>
      </c>
      <c r="H193">
        <v>1000</v>
      </c>
      <c r="I193">
        <v>550</v>
      </c>
      <c r="J193">
        <v>30</v>
      </c>
      <c r="K193">
        <f>Claim[[#This Row],[Monto de prima]]-SUM(Claim[[#This Row],[Costo el reclamo]:[Costo de delivery]])</f>
        <v>420</v>
      </c>
      <c r="L193" t="s">
        <v>9</v>
      </c>
      <c r="M193" t="s">
        <v>15</v>
      </c>
    </row>
    <row r="194" spans="2:13" x14ac:dyDescent="0.35">
      <c r="B194">
        <v>190</v>
      </c>
      <c r="C194">
        <v>1452</v>
      </c>
      <c r="D194" s="1">
        <v>42498</v>
      </c>
      <c r="E194" s="1">
        <v>42498</v>
      </c>
      <c r="F194" t="s">
        <v>31</v>
      </c>
      <c r="G194" t="s">
        <v>2</v>
      </c>
      <c r="H194">
        <v>2000</v>
      </c>
      <c r="I194">
        <v>800</v>
      </c>
      <c r="J194">
        <v>40</v>
      </c>
      <c r="K194">
        <f>Claim[[#This Row],[Monto de prima]]-SUM(Claim[[#This Row],[Costo el reclamo]:[Costo de delivery]])</f>
        <v>1160</v>
      </c>
      <c r="L194" t="s">
        <v>9</v>
      </c>
      <c r="M194" t="s">
        <v>15</v>
      </c>
    </row>
    <row r="195" spans="2:13" x14ac:dyDescent="0.35">
      <c r="B195">
        <v>191</v>
      </c>
      <c r="C195">
        <v>3385</v>
      </c>
      <c r="D195" s="1">
        <v>41342</v>
      </c>
      <c r="E195" s="1">
        <v>43345</v>
      </c>
      <c r="F195" t="s">
        <v>1</v>
      </c>
      <c r="G195" t="s">
        <v>5</v>
      </c>
      <c r="H195">
        <v>250</v>
      </c>
      <c r="I195">
        <v>450</v>
      </c>
      <c r="J195">
        <v>100</v>
      </c>
      <c r="K195">
        <f>Claim[[#This Row],[Monto de prima]]-SUM(Claim[[#This Row],[Costo el reclamo]:[Costo de delivery]])</f>
        <v>-300</v>
      </c>
      <c r="L195" t="s">
        <v>10</v>
      </c>
      <c r="M195" t="s">
        <v>16</v>
      </c>
    </row>
    <row r="196" spans="2:13" x14ac:dyDescent="0.35">
      <c r="B196">
        <v>192</v>
      </c>
      <c r="C196">
        <v>4871</v>
      </c>
      <c r="D196" s="1">
        <v>40318</v>
      </c>
      <c r="E196" s="1">
        <v>42186</v>
      </c>
      <c r="F196" t="s">
        <v>31</v>
      </c>
      <c r="G196" t="s">
        <v>2</v>
      </c>
      <c r="H196">
        <v>2000</v>
      </c>
      <c r="I196">
        <v>800</v>
      </c>
      <c r="J196">
        <v>40</v>
      </c>
      <c r="K196">
        <f>Claim[[#This Row],[Monto de prima]]-SUM(Claim[[#This Row],[Costo el reclamo]:[Costo de delivery]])</f>
        <v>1160</v>
      </c>
      <c r="L196" t="s">
        <v>11</v>
      </c>
      <c r="M196" t="s">
        <v>18</v>
      </c>
    </row>
    <row r="197" spans="2:13" x14ac:dyDescent="0.35">
      <c r="B197">
        <v>193</v>
      </c>
      <c r="C197">
        <v>1624</v>
      </c>
      <c r="D197" s="1">
        <v>42184</v>
      </c>
      <c r="E197" s="1">
        <v>42306</v>
      </c>
      <c r="F197" t="s">
        <v>31</v>
      </c>
      <c r="G197" t="s">
        <v>5</v>
      </c>
      <c r="H197">
        <v>2000</v>
      </c>
      <c r="I197">
        <v>800</v>
      </c>
      <c r="J197">
        <v>25</v>
      </c>
      <c r="K197">
        <f>Claim[[#This Row],[Monto de prima]]-SUM(Claim[[#This Row],[Costo el reclamo]:[Costo de delivery]])</f>
        <v>1175</v>
      </c>
      <c r="L197" t="s">
        <v>12</v>
      </c>
      <c r="M197" t="s">
        <v>19</v>
      </c>
    </row>
    <row r="198" spans="2:13" x14ac:dyDescent="0.35">
      <c r="B198">
        <v>194</v>
      </c>
      <c r="C198">
        <v>1395</v>
      </c>
      <c r="D198" s="1">
        <v>43146</v>
      </c>
      <c r="E198" s="1">
        <v>43146</v>
      </c>
      <c r="F198" t="s">
        <v>1</v>
      </c>
      <c r="G198" t="s">
        <v>6</v>
      </c>
      <c r="H198">
        <v>250</v>
      </c>
      <c r="I198">
        <v>450</v>
      </c>
      <c r="J198">
        <v>50</v>
      </c>
      <c r="K198">
        <f>Claim[[#This Row],[Monto de prima]]-SUM(Claim[[#This Row],[Costo el reclamo]:[Costo de delivery]])</f>
        <v>-250</v>
      </c>
      <c r="L198" t="s">
        <v>9</v>
      </c>
      <c r="M198" t="s">
        <v>15</v>
      </c>
    </row>
    <row r="199" spans="2:13" x14ac:dyDescent="0.35">
      <c r="B199">
        <v>195</v>
      </c>
      <c r="C199">
        <v>4747</v>
      </c>
      <c r="D199" s="1">
        <v>42926</v>
      </c>
      <c r="E199" s="1">
        <v>42926</v>
      </c>
      <c r="F199" t="s">
        <v>31</v>
      </c>
      <c r="G199" t="s">
        <v>6</v>
      </c>
      <c r="H199">
        <v>2000</v>
      </c>
      <c r="I199">
        <v>800</v>
      </c>
      <c r="J199">
        <v>20</v>
      </c>
      <c r="K199">
        <f>Claim[[#This Row],[Monto de prima]]-SUM(Claim[[#This Row],[Costo el reclamo]:[Costo de delivery]])</f>
        <v>1180</v>
      </c>
      <c r="L199" t="s">
        <v>9</v>
      </c>
      <c r="M199" t="s">
        <v>15</v>
      </c>
    </row>
    <row r="200" spans="2:13" x14ac:dyDescent="0.35">
      <c r="B200">
        <v>196</v>
      </c>
      <c r="C200">
        <v>3597</v>
      </c>
      <c r="D200" s="1">
        <v>42332</v>
      </c>
      <c r="E200" s="1">
        <v>42891</v>
      </c>
      <c r="F200" t="s">
        <v>31</v>
      </c>
      <c r="G200" t="s">
        <v>2</v>
      </c>
      <c r="H200">
        <v>2000</v>
      </c>
      <c r="I200">
        <v>800</v>
      </c>
      <c r="J200">
        <v>40</v>
      </c>
      <c r="K200">
        <f>Claim[[#This Row],[Monto de prima]]-SUM(Claim[[#This Row],[Costo el reclamo]:[Costo de delivery]])</f>
        <v>1160</v>
      </c>
      <c r="L200" t="s">
        <v>13</v>
      </c>
      <c r="M200" t="s">
        <v>14</v>
      </c>
    </row>
    <row r="201" spans="2:13" x14ac:dyDescent="0.35">
      <c r="B201">
        <v>197</v>
      </c>
      <c r="C201">
        <v>4695</v>
      </c>
      <c r="D201" s="1">
        <v>41425</v>
      </c>
      <c r="E201" s="1">
        <v>41425</v>
      </c>
      <c r="F201" t="s">
        <v>1</v>
      </c>
      <c r="G201" t="s">
        <v>6</v>
      </c>
      <c r="H201">
        <v>250</v>
      </c>
      <c r="I201">
        <v>450</v>
      </c>
      <c r="J201">
        <v>50</v>
      </c>
      <c r="K201">
        <f>Claim[[#This Row],[Monto de prima]]-SUM(Claim[[#This Row],[Costo el reclamo]:[Costo de delivery]])</f>
        <v>-250</v>
      </c>
      <c r="L201" t="s">
        <v>12</v>
      </c>
      <c r="M201" t="s">
        <v>19</v>
      </c>
    </row>
    <row r="202" spans="2:13" x14ac:dyDescent="0.35">
      <c r="B202">
        <v>198</v>
      </c>
      <c r="C202">
        <v>4851</v>
      </c>
      <c r="D202" s="1">
        <v>40394</v>
      </c>
      <c r="E202" s="1">
        <v>41953</v>
      </c>
      <c r="F202" t="s">
        <v>4</v>
      </c>
      <c r="G202" t="s">
        <v>6</v>
      </c>
      <c r="H202">
        <v>1000</v>
      </c>
      <c r="I202">
        <v>550</v>
      </c>
      <c r="J202">
        <v>30</v>
      </c>
      <c r="K202">
        <f>Claim[[#This Row],[Monto de prima]]-SUM(Claim[[#This Row],[Costo el reclamo]:[Costo de delivery]])</f>
        <v>420</v>
      </c>
      <c r="L202" t="s">
        <v>11</v>
      </c>
      <c r="M202" t="s">
        <v>18</v>
      </c>
    </row>
    <row r="203" spans="2:13" x14ac:dyDescent="0.35">
      <c r="B203">
        <v>199</v>
      </c>
      <c r="C203">
        <v>1335</v>
      </c>
      <c r="D203" s="1">
        <v>41882</v>
      </c>
      <c r="E203" s="1">
        <v>42961</v>
      </c>
      <c r="F203" t="s">
        <v>1</v>
      </c>
      <c r="G203" t="s">
        <v>2</v>
      </c>
      <c r="H203">
        <v>250</v>
      </c>
      <c r="I203">
        <v>450</v>
      </c>
      <c r="J203">
        <v>30</v>
      </c>
      <c r="K203">
        <f>Claim[[#This Row],[Monto de prima]]-SUM(Claim[[#This Row],[Costo el reclamo]:[Costo de delivery]])</f>
        <v>-230</v>
      </c>
      <c r="L203" t="s">
        <v>13</v>
      </c>
      <c r="M203" t="s">
        <v>14</v>
      </c>
    </row>
    <row r="204" spans="2:13" x14ac:dyDescent="0.35">
      <c r="B204">
        <v>200</v>
      </c>
      <c r="C204">
        <v>2169</v>
      </c>
      <c r="D204" s="1">
        <v>41529</v>
      </c>
      <c r="E204" s="1">
        <v>42573</v>
      </c>
      <c r="F204" t="s">
        <v>30</v>
      </c>
      <c r="G204" t="s">
        <v>5</v>
      </c>
      <c r="H204">
        <v>600</v>
      </c>
      <c r="I204">
        <v>200</v>
      </c>
      <c r="J204">
        <v>50</v>
      </c>
      <c r="K204">
        <f>Claim[[#This Row],[Monto de prima]]-SUM(Claim[[#This Row],[Costo el reclamo]:[Costo de delivery]])</f>
        <v>350</v>
      </c>
      <c r="L204" t="s">
        <v>9</v>
      </c>
      <c r="M204" t="s">
        <v>15</v>
      </c>
    </row>
    <row r="205" spans="2:13" x14ac:dyDescent="0.35">
      <c r="B205">
        <v>201</v>
      </c>
      <c r="C205">
        <v>4506</v>
      </c>
      <c r="D205" s="1">
        <v>40625</v>
      </c>
      <c r="E205" s="1">
        <v>41841</v>
      </c>
      <c r="F205" t="s">
        <v>31</v>
      </c>
      <c r="G205" t="s">
        <v>6</v>
      </c>
      <c r="H205">
        <v>2000</v>
      </c>
      <c r="I205">
        <v>800</v>
      </c>
      <c r="J205">
        <v>20</v>
      </c>
      <c r="K205">
        <f>Claim[[#This Row],[Monto de prima]]-SUM(Claim[[#This Row],[Costo el reclamo]:[Costo de delivery]])</f>
        <v>1180</v>
      </c>
      <c r="L205" t="s">
        <v>12</v>
      </c>
      <c r="M205" t="s">
        <v>19</v>
      </c>
    </row>
    <row r="206" spans="2:13" x14ac:dyDescent="0.35">
      <c r="B206">
        <v>202</v>
      </c>
      <c r="C206">
        <v>2950</v>
      </c>
      <c r="D206" s="1">
        <v>41512</v>
      </c>
      <c r="E206" s="1">
        <v>41783</v>
      </c>
      <c r="F206" t="s">
        <v>1</v>
      </c>
      <c r="G206" t="s">
        <v>2</v>
      </c>
      <c r="H206">
        <v>250</v>
      </c>
      <c r="I206">
        <v>450</v>
      </c>
      <c r="J206">
        <v>30</v>
      </c>
      <c r="K206">
        <f>Claim[[#This Row],[Monto de prima]]-SUM(Claim[[#This Row],[Costo el reclamo]:[Costo de delivery]])</f>
        <v>-230</v>
      </c>
      <c r="L206" t="s">
        <v>7</v>
      </c>
      <c r="M206" t="s">
        <v>16</v>
      </c>
    </row>
    <row r="207" spans="2:13" x14ac:dyDescent="0.35">
      <c r="B207">
        <v>203</v>
      </c>
      <c r="C207">
        <v>1230</v>
      </c>
      <c r="D207" s="1">
        <v>42380</v>
      </c>
      <c r="E207" s="1">
        <v>43082</v>
      </c>
      <c r="F207" t="s">
        <v>30</v>
      </c>
      <c r="G207" t="s">
        <v>6</v>
      </c>
      <c r="H207">
        <v>600</v>
      </c>
      <c r="I207">
        <v>200</v>
      </c>
      <c r="J207">
        <v>15</v>
      </c>
      <c r="K207">
        <f>Claim[[#This Row],[Monto de prima]]-SUM(Claim[[#This Row],[Costo el reclamo]:[Costo de delivery]])</f>
        <v>385</v>
      </c>
      <c r="L207" t="s">
        <v>7</v>
      </c>
      <c r="M207" t="s">
        <v>16</v>
      </c>
    </row>
    <row r="208" spans="2:13" x14ac:dyDescent="0.35">
      <c r="B208">
        <v>204</v>
      </c>
      <c r="C208">
        <v>1913</v>
      </c>
      <c r="D208" s="1">
        <v>42202</v>
      </c>
      <c r="E208" s="1">
        <v>42202</v>
      </c>
      <c r="F208" t="s">
        <v>30</v>
      </c>
      <c r="G208" t="s">
        <v>2</v>
      </c>
      <c r="H208">
        <v>600</v>
      </c>
      <c r="I208">
        <v>200</v>
      </c>
      <c r="J208">
        <v>35</v>
      </c>
      <c r="K208">
        <f>Claim[[#This Row],[Monto de prima]]-SUM(Claim[[#This Row],[Costo el reclamo]:[Costo de delivery]])</f>
        <v>365</v>
      </c>
      <c r="L208" t="s">
        <v>10</v>
      </c>
      <c r="M208" t="s">
        <v>16</v>
      </c>
    </row>
    <row r="209" spans="2:13" x14ac:dyDescent="0.35">
      <c r="B209">
        <v>205</v>
      </c>
      <c r="C209">
        <v>4791</v>
      </c>
      <c r="D209" s="1">
        <v>42700</v>
      </c>
      <c r="E209" s="1">
        <v>42951</v>
      </c>
      <c r="F209" t="s">
        <v>4</v>
      </c>
      <c r="G209" t="s">
        <v>5</v>
      </c>
      <c r="H209">
        <v>1000</v>
      </c>
      <c r="I209">
        <v>550</v>
      </c>
      <c r="J209">
        <v>50</v>
      </c>
      <c r="K209">
        <f>Claim[[#This Row],[Monto de prima]]-SUM(Claim[[#This Row],[Costo el reclamo]:[Costo de delivery]])</f>
        <v>400</v>
      </c>
      <c r="L209" t="s">
        <v>12</v>
      </c>
      <c r="M209" t="s">
        <v>19</v>
      </c>
    </row>
    <row r="210" spans="2:13" x14ac:dyDescent="0.35">
      <c r="B210">
        <v>206</v>
      </c>
      <c r="C210">
        <v>3331</v>
      </c>
      <c r="D210" s="1">
        <v>43118</v>
      </c>
      <c r="E210" s="1">
        <v>43118</v>
      </c>
      <c r="F210" t="s">
        <v>30</v>
      </c>
      <c r="G210" t="s">
        <v>3</v>
      </c>
      <c r="H210">
        <v>600</v>
      </c>
      <c r="I210">
        <v>200</v>
      </c>
      <c r="J210">
        <v>20</v>
      </c>
      <c r="K210">
        <f>Claim[[#This Row],[Monto de prima]]-SUM(Claim[[#This Row],[Costo el reclamo]:[Costo de delivery]])</f>
        <v>380</v>
      </c>
      <c r="L210" t="s">
        <v>7</v>
      </c>
      <c r="M210" t="s">
        <v>16</v>
      </c>
    </row>
    <row r="211" spans="2:13" x14ac:dyDescent="0.35">
      <c r="B211">
        <v>207</v>
      </c>
      <c r="C211">
        <v>4156</v>
      </c>
      <c r="D211" s="1">
        <v>43085</v>
      </c>
      <c r="E211" s="1">
        <v>43085</v>
      </c>
      <c r="F211" t="s">
        <v>30</v>
      </c>
      <c r="G211" t="s">
        <v>3</v>
      </c>
      <c r="H211">
        <v>600</v>
      </c>
      <c r="I211">
        <v>200</v>
      </c>
      <c r="J211">
        <v>20</v>
      </c>
      <c r="K211">
        <f>Claim[[#This Row],[Monto de prima]]-SUM(Claim[[#This Row],[Costo el reclamo]:[Costo de delivery]])</f>
        <v>380</v>
      </c>
      <c r="L211" t="s">
        <v>9</v>
      </c>
      <c r="M211" t="s">
        <v>15</v>
      </c>
    </row>
    <row r="212" spans="2:13" x14ac:dyDescent="0.35">
      <c r="B212">
        <v>208</v>
      </c>
      <c r="C212">
        <v>3899</v>
      </c>
      <c r="D212" s="1">
        <v>42567</v>
      </c>
      <c r="E212" s="1">
        <v>43816</v>
      </c>
      <c r="F212" t="s">
        <v>31</v>
      </c>
      <c r="G212" t="s">
        <v>6</v>
      </c>
      <c r="H212">
        <v>2000</v>
      </c>
      <c r="I212">
        <v>800</v>
      </c>
      <c r="J212">
        <v>20</v>
      </c>
      <c r="K212">
        <f>Claim[[#This Row],[Monto de prima]]-SUM(Claim[[#This Row],[Costo el reclamo]:[Costo de delivery]])</f>
        <v>1180</v>
      </c>
      <c r="L212" t="s">
        <v>13</v>
      </c>
      <c r="M212" t="s">
        <v>14</v>
      </c>
    </row>
    <row r="213" spans="2:13" x14ac:dyDescent="0.35">
      <c r="B213">
        <v>209</v>
      </c>
      <c r="C213">
        <v>1515</v>
      </c>
      <c r="D213" s="1">
        <v>41505</v>
      </c>
      <c r="E213" s="1">
        <v>42076</v>
      </c>
      <c r="F213" t="s">
        <v>4</v>
      </c>
      <c r="G213" t="s">
        <v>6</v>
      </c>
      <c r="H213">
        <v>1000</v>
      </c>
      <c r="I213">
        <v>550</v>
      </c>
      <c r="J213">
        <v>30</v>
      </c>
      <c r="K213">
        <f>Claim[[#This Row],[Monto de prima]]-SUM(Claim[[#This Row],[Costo el reclamo]:[Costo de delivery]])</f>
        <v>420</v>
      </c>
      <c r="L213" t="s">
        <v>9</v>
      </c>
      <c r="M213" t="s">
        <v>15</v>
      </c>
    </row>
    <row r="214" spans="2:13" x14ac:dyDescent="0.35">
      <c r="B214">
        <v>210</v>
      </c>
      <c r="C214">
        <v>3873</v>
      </c>
      <c r="D214" s="1">
        <v>40200</v>
      </c>
      <c r="E214" s="1">
        <v>41618</v>
      </c>
      <c r="F214" t="s">
        <v>4</v>
      </c>
      <c r="G214" t="s">
        <v>6</v>
      </c>
      <c r="H214">
        <v>1000</v>
      </c>
      <c r="I214">
        <v>550</v>
      </c>
      <c r="J214">
        <v>30</v>
      </c>
      <c r="K214">
        <f>Claim[[#This Row],[Monto de prima]]-SUM(Claim[[#This Row],[Costo el reclamo]:[Costo de delivery]])</f>
        <v>420</v>
      </c>
      <c r="L214" t="s">
        <v>12</v>
      </c>
      <c r="M214" t="s">
        <v>19</v>
      </c>
    </row>
    <row r="215" spans="2:13" x14ac:dyDescent="0.35">
      <c r="B215">
        <v>211</v>
      </c>
      <c r="C215">
        <v>4259</v>
      </c>
      <c r="D215" s="1">
        <v>42977</v>
      </c>
      <c r="E215" s="1">
        <v>42977</v>
      </c>
      <c r="F215" t="s">
        <v>4</v>
      </c>
      <c r="G215" t="s">
        <v>3</v>
      </c>
      <c r="H215">
        <v>1000</v>
      </c>
      <c r="I215">
        <v>550</v>
      </c>
      <c r="J215">
        <v>80</v>
      </c>
      <c r="K215">
        <f>Claim[[#This Row],[Monto de prima]]-SUM(Claim[[#This Row],[Costo el reclamo]:[Costo de delivery]])</f>
        <v>370</v>
      </c>
      <c r="L215" t="s">
        <v>13</v>
      </c>
      <c r="M215" t="s">
        <v>14</v>
      </c>
    </row>
    <row r="216" spans="2:13" x14ac:dyDescent="0.35">
      <c r="B216">
        <v>212</v>
      </c>
      <c r="C216">
        <v>1198</v>
      </c>
      <c r="D216" s="1">
        <v>42744</v>
      </c>
      <c r="E216" s="1">
        <v>43493</v>
      </c>
      <c r="F216" t="s">
        <v>31</v>
      </c>
      <c r="G216" t="s">
        <v>5</v>
      </c>
      <c r="H216">
        <v>2000</v>
      </c>
      <c r="I216">
        <v>800</v>
      </c>
      <c r="J216">
        <v>25</v>
      </c>
      <c r="K216">
        <f>Claim[[#This Row],[Monto de prima]]-SUM(Claim[[#This Row],[Costo el reclamo]:[Costo de delivery]])</f>
        <v>1175</v>
      </c>
      <c r="L216" t="s">
        <v>7</v>
      </c>
      <c r="M216" t="s">
        <v>16</v>
      </c>
    </row>
    <row r="217" spans="2:13" x14ac:dyDescent="0.35">
      <c r="B217">
        <v>213</v>
      </c>
      <c r="C217">
        <v>4686</v>
      </c>
      <c r="D217" s="1">
        <v>40401</v>
      </c>
      <c r="E217" s="1">
        <v>41735</v>
      </c>
      <c r="F217" t="s">
        <v>30</v>
      </c>
      <c r="G217" t="s">
        <v>2</v>
      </c>
      <c r="H217">
        <v>600</v>
      </c>
      <c r="I217">
        <v>200</v>
      </c>
      <c r="J217">
        <v>35</v>
      </c>
      <c r="K217">
        <f>Claim[[#This Row],[Monto de prima]]-SUM(Claim[[#This Row],[Costo el reclamo]:[Costo de delivery]])</f>
        <v>365</v>
      </c>
      <c r="L217" t="s">
        <v>9</v>
      </c>
      <c r="M217" t="s">
        <v>15</v>
      </c>
    </row>
    <row r="218" spans="2:13" x14ac:dyDescent="0.35">
      <c r="B218">
        <v>214</v>
      </c>
      <c r="C218">
        <v>4252</v>
      </c>
      <c r="D218" s="1">
        <v>41897</v>
      </c>
      <c r="E218" s="1">
        <v>42596</v>
      </c>
      <c r="F218" t="s">
        <v>4</v>
      </c>
      <c r="G218" t="s">
        <v>5</v>
      </c>
      <c r="H218">
        <v>1000</v>
      </c>
      <c r="I218">
        <v>550</v>
      </c>
      <c r="J218">
        <v>50</v>
      </c>
      <c r="K218">
        <f>Claim[[#This Row],[Monto de prima]]-SUM(Claim[[#This Row],[Costo el reclamo]:[Costo de delivery]])</f>
        <v>400</v>
      </c>
      <c r="L218" t="s">
        <v>10</v>
      </c>
      <c r="M218" t="s">
        <v>16</v>
      </c>
    </row>
    <row r="219" spans="2:13" x14ac:dyDescent="0.35">
      <c r="B219">
        <v>215</v>
      </c>
      <c r="C219">
        <v>1117</v>
      </c>
      <c r="D219" s="1">
        <v>42851</v>
      </c>
      <c r="E219" s="1">
        <v>42851</v>
      </c>
      <c r="F219" t="s">
        <v>4</v>
      </c>
      <c r="G219" t="s">
        <v>6</v>
      </c>
      <c r="H219">
        <v>1000</v>
      </c>
      <c r="I219">
        <v>550</v>
      </c>
      <c r="J219">
        <v>30</v>
      </c>
      <c r="K219">
        <f>Claim[[#This Row],[Monto de prima]]-SUM(Claim[[#This Row],[Costo el reclamo]:[Costo de delivery]])</f>
        <v>420</v>
      </c>
      <c r="L219" t="s">
        <v>7</v>
      </c>
      <c r="M219" t="s">
        <v>16</v>
      </c>
    </row>
    <row r="220" spans="2:13" x14ac:dyDescent="0.35">
      <c r="B220">
        <v>216</v>
      </c>
      <c r="C220">
        <v>4122</v>
      </c>
      <c r="D220" s="1">
        <v>40562</v>
      </c>
      <c r="E220" s="1">
        <v>41036</v>
      </c>
      <c r="F220" t="s">
        <v>1</v>
      </c>
      <c r="G220" t="s">
        <v>5</v>
      </c>
      <c r="H220">
        <v>250</v>
      </c>
      <c r="I220">
        <v>450</v>
      </c>
      <c r="J220">
        <v>100</v>
      </c>
      <c r="K220">
        <f>Claim[[#This Row],[Monto de prima]]-SUM(Claim[[#This Row],[Costo el reclamo]:[Costo de delivery]])</f>
        <v>-300</v>
      </c>
      <c r="L220" t="s">
        <v>8</v>
      </c>
      <c r="M220" t="s">
        <v>17</v>
      </c>
    </row>
    <row r="221" spans="2:13" x14ac:dyDescent="0.35">
      <c r="B221">
        <v>217</v>
      </c>
      <c r="C221">
        <v>2454</v>
      </c>
      <c r="D221" s="1">
        <v>42493</v>
      </c>
      <c r="E221" s="1">
        <v>42493</v>
      </c>
      <c r="F221" t="s">
        <v>1</v>
      </c>
      <c r="G221" t="s">
        <v>2</v>
      </c>
      <c r="H221">
        <v>250</v>
      </c>
      <c r="I221">
        <v>450</v>
      </c>
      <c r="J221">
        <v>30</v>
      </c>
      <c r="K221">
        <f>Claim[[#This Row],[Monto de prima]]-SUM(Claim[[#This Row],[Costo el reclamo]:[Costo de delivery]])</f>
        <v>-230</v>
      </c>
      <c r="L221" t="s">
        <v>8</v>
      </c>
      <c r="M221" t="s">
        <v>17</v>
      </c>
    </row>
    <row r="222" spans="2:13" x14ac:dyDescent="0.35">
      <c r="B222">
        <v>218</v>
      </c>
      <c r="C222">
        <v>2842</v>
      </c>
      <c r="D222" s="1">
        <v>43151</v>
      </c>
      <c r="E222" s="1">
        <v>43389</v>
      </c>
      <c r="F222" t="s">
        <v>4</v>
      </c>
      <c r="G222" t="s">
        <v>2</v>
      </c>
      <c r="H222">
        <v>1000</v>
      </c>
      <c r="I222">
        <v>550</v>
      </c>
      <c r="J222">
        <v>50</v>
      </c>
      <c r="K222">
        <f>Claim[[#This Row],[Monto de prima]]-SUM(Claim[[#This Row],[Costo el reclamo]:[Costo de delivery]])</f>
        <v>400</v>
      </c>
      <c r="L222" t="s">
        <v>10</v>
      </c>
      <c r="M222" t="s">
        <v>16</v>
      </c>
    </row>
    <row r="223" spans="2:13" x14ac:dyDescent="0.35">
      <c r="B223">
        <v>219</v>
      </c>
      <c r="C223">
        <v>2441</v>
      </c>
      <c r="D223" s="1">
        <v>43011</v>
      </c>
      <c r="E223" s="1">
        <v>43055</v>
      </c>
      <c r="F223" t="s">
        <v>31</v>
      </c>
      <c r="G223" t="s">
        <v>6</v>
      </c>
      <c r="H223">
        <v>2000</v>
      </c>
      <c r="I223">
        <v>800</v>
      </c>
      <c r="J223">
        <v>20</v>
      </c>
      <c r="K223">
        <f>Claim[[#This Row],[Monto de prima]]-SUM(Claim[[#This Row],[Costo el reclamo]:[Costo de delivery]])</f>
        <v>1180</v>
      </c>
      <c r="L223" t="s">
        <v>13</v>
      </c>
      <c r="M223" t="s">
        <v>14</v>
      </c>
    </row>
    <row r="224" spans="2:13" x14ac:dyDescent="0.35">
      <c r="B224">
        <v>220</v>
      </c>
      <c r="C224">
        <v>1854</v>
      </c>
      <c r="D224" s="1">
        <v>42474</v>
      </c>
      <c r="E224" s="1">
        <v>42474</v>
      </c>
      <c r="F224" t="s">
        <v>1</v>
      </c>
      <c r="G224" t="s">
        <v>5</v>
      </c>
      <c r="H224">
        <v>250</v>
      </c>
      <c r="I224">
        <v>450</v>
      </c>
      <c r="J224">
        <v>100</v>
      </c>
      <c r="K224">
        <f>Claim[[#This Row],[Monto de prima]]-SUM(Claim[[#This Row],[Costo el reclamo]:[Costo de delivery]])</f>
        <v>-300</v>
      </c>
      <c r="L224" t="s">
        <v>12</v>
      </c>
      <c r="M224" t="s">
        <v>19</v>
      </c>
    </row>
    <row r="225" spans="2:13" x14ac:dyDescent="0.35">
      <c r="B225">
        <v>221</v>
      </c>
      <c r="C225">
        <v>1780</v>
      </c>
      <c r="D225" s="1">
        <v>42265</v>
      </c>
      <c r="E225" s="1">
        <v>43236</v>
      </c>
      <c r="F225" t="s">
        <v>30</v>
      </c>
      <c r="G225" t="s">
        <v>5</v>
      </c>
      <c r="H225">
        <v>600</v>
      </c>
      <c r="I225">
        <v>200</v>
      </c>
      <c r="J225">
        <v>50</v>
      </c>
      <c r="K225">
        <f>Claim[[#This Row],[Monto de prima]]-SUM(Claim[[#This Row],[Costo el reclamo]:[Costo de delivery]])</f>
        <v>350</v>
      </c>
      <c r="L225" t="s">
        <v>8</v>
      </c>
      <c r="M225" t="s">
        <v>17</v>
      </c>
    </row>
    <row r="226" spans="2:13" x14ac:dyDescent="0.35">
      <c r="B226">
        <v>222</v>
      </c>
      <c r="C226">
        <v>4405</v>
      </c>
      <c r="D226" s="1">
        <v>42208</v>
      </c>
      <c r="E226" s="1">
        <v>43155</v>
      </c>
      <c r="F226" t="s">
        <v>31</v>
      </c>
      <c r="G226" t="s">
        <v>2</v>
      </c>
      <c r="H226">
        <v>2000</v>
      </c>
      <c r="I226">
        <v>800</v>
      </c>
      <c r="J226">
        <v>40</v>
      </c>
      <c r="K226">
        <f>Claim[[#This Row],[Monto de prima]]-SUM(Claim[[#This Row],[Costo el reclamo]:[Costo de delivery]])</f>
        <v>1160</v>
      </c>
      <c r="L226" t="s">
        <v>7</v>
      </c>
      <c r="M226" t="s">
        <v>16</v>
      </c>
    </row>
    <row r="227" spans="2:13" x14ac:dyDescent="0.35">
      <c r="B227">
        <v>223</v>
      </c>
      <c r="C227">
        <v>4464</v>
      </c>
      <c r="D227" s="1">
        <v>40427</v>
      </c>
      <c r="E227" s="1">
        <v>43167</v>
      </c>
      <c r="F227" t="s">
        <v>1</v>
      </c>
      <c r="G227" t="s">
        <v>6</v>
      </c>
      <c r="H227">
        <v>250</v>
      </c>
      <c r="I227">
        <v>450</v>
      </c>
      <c r="J227">
        <v>50</v>
      </c>
      <c r="K227">
        <f>Claim[[#This Row],[Monto de prima]]-SUM(Claim[[#This Row],[Costo el reclamo]:[Costo de delivery]])</f>
        <v>-250</v>
      </c>
      <c r="L227" t="s">
        <v>7</v>
      </c>
      <c r="M227" t="s">
        <v>16</v>
      </c>
    </row>
    <row r="228" spans="2:13" x14ac:dyDescent="0.35">
      <c r="B228">
        <v>224</v>
      </c>
      <c r="C228">
        <v>2032</v>
      </c>
      <c r="D228" s="1">
        <v>40911</v>
      </c>
      <c r="E228" s="1">
        <v>43473</v>
      </c>
      <c r="F228" t="s">
        <v>30</v>
      </c>
      <c r="G228" t="s">
        <v>6</v>
      </c>
      <c r="H228">
        <v>600</v>
      </c>
      <c r="I228">
        <v>200</v>
      </c>
      <c r="J228">
        <v>15</v>
      </c>
      <c r="K228">
        <f>Claim[[#This Row],[Monto de prima]]-SUM(Claim[[#This Row],[Costo el reclamo]:[Costo de delivery]])</f>
        <v>385</v>
      </c>
      <c r="L228" t="s">
        <v>10</v>
      </c>
      <c r="M228" t="s">
        <v>16</v>
      </c>
    </row>
    <row r="229" spans="2:13" x14ac:dyDescent="0.35">
      <c r="B229">
        <v>225</v>
      </c>
      <c r="C229">
        <v>1377</v>
      </c>
      <c r="D229" s="1">
        <v>42619</v>
      </c>
      <c r="E229" s="1">
        <v>43189</v>
      </c>
      <c r="F229" t="s">
        <v>31</v>
      </c>
      <c r="G229" t="s">
        <v>6</v>
      </c>
      <c r="H229">
        <v>2000</v>
      </c>
      <c r="I229">
        <v>800</v>
      </c>
      <c r="J229">
        <v>20</v>
      </c>
      <c r="K229">
        <f>Claim[[#This Row],[Monto de prima]]-SUM(Claim[[#This Row],[Costo el reclamo]:[Costo de delivery]])</f>
        <v>1180</v>
      </c>
      <c r="L229" t="s">
        <v>7</v>
      </c>
      <c r="M229" t="s">
        <v>16</v>
      </c>
    </row>
    <row r="230" spans="2:13" x14ac:dyDescent="0.35">
      <c r="B230">
        <v>226</v>
      </c>
      <c r="C230">
        <v>2620</v>
      </c>
      <c r="D230" s="1">
        <v>40504</v>
      </c>
      <c r="E230" s="1">
        <v>41928</v>
      </c>
      <c r="F230" t="s">
        <v>4</v>
      </c>
      <c r="G230" t="s">
        <v>2</v>
      </c>
      <c r="H230">
        <v>1000</v>
      </c>
      <c r="I230">
        <v>550</v>
      </c>
      <c r="J230">
        <v>50</v>
      </c>
      <c r="K230">
        <f>Claim[[#This Row],[Monto de prima]]-SUM(Claim[[#This Row],[Costo el reclamo]:[Costo de delivery]])</f>
        <v>400</v>
      </c>
      <c r="L230" t="s">
        <v>8</v>
      </c>
      <c r="M230" t="s">
        <v>17</v>
      </c>
    </row>
    <row r="231" spans="2:13" x14ac:dyDescent="0.35">
      <c r="B231">
        <v>227</v>
      </c>
      <c r="C231">
        <v>4885</v>
      </c>
      <c r="D231" s="1">
        <v>41606</v>
      </c>
      <c r="E231" s="1">
        <v>43023</v>
      </c>
      <c r="F231" t="s">
        <v>1</v>
      </c>
      <c r="G231" t="s">
        <v>6</v>
      </c>
      <c r="H231">
        <v>250</v>
      </c>
      <c r="I231">
        <v>450</v>
      </c>
      <c r="J231">
        <v>50</v>
      </c>
      <c r="K231">
        <f>Claim[[#This Row],[Monto de prima]]-SUM(Claim[[#This Row],[Costo el reclamo]:[Costo de delivery]])</f>
        <v>-250</v>
      </c>
      <c r="L231" t="s">
        <v>13</v>
      </c>
      <c r="M231" t="s">
        <v>14</v>
      </c>
    </row>
    <row r="232" spans="2:13" x14ac:dyDescent="0.35">
      <c r="B232">
        <v>228</v>
      </c>
      <c r="C232">
        <v>1158</v>
      </c>
      <c r="D232" s="1">
        <v>41460</v>
      </c>
      <c r="E232" s="1">
        <v>43510</v>
      </c>
      <c r="F232" t="s">
        <v>1</v>
      </c>
      <c r="G232" t="s">
        <v>2</v>
      </c>
      <c r="H232">
        <v>250</v>
      </c>
      <c r="I232">
        <v>450</v>
      </c>
      <c r="J232">
        <v>30</v>
      </c>
      <c r="K232">
        <f>Claim[[#This Row],[Monto de prima]]-SUM(Claim[[#This Row],[Costo el reclamo]:[Costo de delivery]])</f>
        <v>-230</v>
      </c>
      <c r="L232" t="s">
        <v>11</v>
      </c>
      <c r="M232" t="s">
        <v>18</v>
      </c>
    </row>
    <row r="233" spans="2:13" x14ac:dyDescent="0.35">
      <c r="B233">
        <v>229</v>
      </c>
      <c r="C233">
        <v>2986</v>
      </c>
      <c r="D233" s="1">
        <v>41957</v>
      </c>
      <c r="E233" s="1">
        <v>41957</v>
      </c>
      <c r="F233" t="s">
        <v>31</v>
      </c>
      <c r="G233" t="s">
        <v>5</v>
      </c>
      <c r="H233">
        <v>2000</v>
      </c>
      <c r="I233">
        <v>800</v>
      </c>
      <c r="J233">
        <v>25</v>
      </c>
      <c r="K233">
        <f>Claim[[#This Row],[Monto de prima]]-SUM(Claim[[#This Row],[Costo el reclamo]:[Costo de delivery]])</f>
        <v>1175</v>
      </c>
      <c r="L233" t="s">
        <v>7</v>
      </c>
      <c r="M233" t="s">
        <v>16</v>
      </c>
    </row>
    <row r="234" spans="2:13" x14ac:dyDescent="0.35">
      <c r="B234">
        <v>230</v>
      </c>
      <c r="C234">
        <v>2613</v>
      </c>
      <c r="D234" s="1">
        <v>40655</v>
      </c>
      <c r="E234" s="1">
        <v>41479</v>
      </c>
      <c r="F234" t="s">
        <v>30</v>
      </c>
      <c r="G234" t="s">
        <v>3</v>
      </c>
      <c r="H234">
        <v>600</v>
      </c>
      <c r="I234">
        <v>200</v>
      </c>
      <c r="J234">
        <v>20</v>
      </c>
      <c r="K234">
        <f>Claim[[#This Row],[Monto de prima]]-SUM(Claim[[#This Row],[Costo el reclamo]:[Costo de delivery]])</f>
        <v>380</v>
      </c>
      <c r="L234" t="s">
        <v>10</v>
      </c>
      <c r="M234" t="s">
        <v>16</v>
      </c>
    </row>
    <row r="235" spans="2:13" x14ac:dyDescent="0.35">
      <c r="B235">
        <v>231</v>
      </c>
      <c r="C235">
        <v>3209</v>
      </c>
      <c r="D235" s="1">
        <v>42318</v>
      </c>
      <c r="E235" s="1">
        <v>42762</v>
      </c>
      <c r="F235" t="s">
        <v>30</v>
      </c>
      <c r="G235" t="s">
        <v>6</v>
      </c>
      <c r="H235">
        <v>600</v>
      </c>
      <c r="I235">
        <v>200</v>
      </c>
      <c r="J235">
        <v>15</v>
      </c>
      <c r="K235">
        <f>Claim[[#This Row],[Monto de prima]]-SUM(Claim[[#This Row],[Costo el reclamo]:[Costo de delivery]])</f>
        <v>385</v>
      </c>
      <c r="L235" t="s">
        <v>12</v>
      </c>
      <c r="M235" t="s">
        <v>19</v>
      </c>
    </row>
    <row r="236" spans="2:13" x14ac:dyDescent="0.35">
      <c r="B236">
        <v>232</v>
      </c>
      <c r="C236">
        <v>1162</v>
      </c>
      <c r="D236" s="1">
        <v>40951</v>
      </c>
      <c r="E236" s="1">
        <v>42607</v>
      </c>
      <c r="F236" t="s">
        <v>1</v>
      </c>
      <c r="G236" t="s">
        <v>3</v>
      </c>
      <c r="H236">
        <v>250</v>
      </c>
      <c r="I236">
        <v>450</v>
      </c>
      <c r="J236">
        <v>80</v>
      </c>
      <c r="K236">
        <f>Claim[[#This Row],[Monto de prima]]-SUM(Claim[[#This Row],[Costo el reclamo]:[Costo de delivery]])</f>
        <v>-280</v>
      </c>
      <c r="L236" t="s">
        <v>8</v>
      </c>
      <c r="M236" t="s">
        <v>17</v>
      </c>
    </row>
    <row r="237" spans="2:13" x14ac:dyDescent="0.35">
      <c r="B237">
        <v>233</v>
      </c>
      <c r="C237">
        <v>4773</v>
      </c>
      <c r="D237" s="1">
        <v>42864</v>
      </c>
      <c r="E237" s="1">
        <v>43121</v>
      </c>
      <c r="F237" t="s">
        <v>30</v>
      </c>
      <c r="G237" t="s">
        <v>2</v>
      </c>
      <c r="H237">
        <v>600</v>
      </c>
      <c r="I237">
        <v>200</v>
      </c>
      <c r="J237">
        <v>35</v>
      </c>
      <c r="K237">
        <f>Claim[[#This Row],[Monto de prima]]-SUM(Claim[[#This Row],[Costo el reclamo]:[Costo de delivery]])</f>
        <v>365</v>
      </c>
      <c r="L237" t="s">
        <v>10</v>
      </c>
      <c r="M237" t="s">
        <v>16</v>
      </c>
    </row>
    <row r="238" spans="2:13" x14ac:dyDescent="0.35">
      <c r="B238">
        <v>234</v>
      </c>
      <c r="C238">
        <v>3733</v>
      </c>
      <c r="D238" s="1">
        <v>42412</v>
      </c>
      <c r="E238" s="1">
        <v>42455</v>
      </c>
      <c r="F238" t="s">
        <v>1</v>
      </c>
      <c r="G238" t="s">
        <v>5</v>
      </c>
      <c r="H238">
        <v>250</v>
      </c>
      <c r="I238">
        <v>450</v>
      </c>
      <c r="J238">
        <v>100</v>
      </c>
      <c r="K238">
        <f>Claim[[#This Row],[Monto de prima]]-SUM(Claim[[#This Row],[Costo el reclamo]:[Costo de delivery]])</f>
        <v>-300</v>
      </c>
      <c r="L238" t="s">
        <v>8</v>
      </c>
      <c r="M238" t="s">
        <v>17</v>
      </c>
    </row>
    <row r="239" spans="2:13" x14ac:dyDescent="0.35">
      <c r="B239">
        <v>235</v>
      </c>
      <c r="C239">
        <v>3621</v>
      </c>
      <c r="D239" s="1">
        <v>40421</v>
      </c>
      <c r="E239" s="1">
        <v>41201</v>
      </c>
      <c r="F239" t="s">
        <v>30</v>
      </c>
      <c r="G239" t="s">
        <v>2</v>
      </c>
      <c r="H239">
        <v>600</v>
      </c>
      <c r="I239">
        <v>200</v>
      </c>
      <c r="J239">
        <v>35</v>
      </c>
      <c r="K239">
        <f>Claim[[#This Row],[Monto de prima]]-SUM(Claim[[#This Row],[Costo el reclamo]:[Costo de delivery]])</f>
        <v>365</v>
      </c>
      <c r="L239" t="s">
        <v>8</v>
      </c>
      <c r="M239" t="s">
        <v>17</v>
      </c>
    </row>
    <row r="240" spans="2:13" x14ac:dyDescent="0.35">
      <c r="B240">
        <v>236</v>
      </c>
      <c r="C240">
        <v>4925</v>
      </c>
      <c r="D240" s="1">
        <v>41028</v>
      </c>
      <c r="E240" s="1">
        <v>41555</v>
      </c>
      <c r="F240" t="s">
        <v>30</v>
      </c>
      <c r="G240" t="s">
        <v>2</v>
      </c>
      <c r="H240">
        <v>600</v>
      </c>
      <c r="I240">
        <v>200</v>
      </c>
      <c r="J240">
        <v>35</v>
      </c>
      <c r="K240">
        <f>Claim[[#This Row],[Monto de prima]]-SUM(Claim[[#This Row],[Costo el reclamo]:[Costo de delivery]])</f>
        <v>365</v>
      </c>
      <c r="L240" t="s">
        <v>12</v>
      </c>
      <c r="M240" t="s">
        <v>19</v>
      </c>
    </row>
    <row r="241" spans="2:13" x14ac:dyDescent="0.35">
      <c r="B241">
        <v>237</v>
      </c>
      <c r="C241">
        <v>3439</v>
      </c>
      <c r="D241" s="1">
        <v>41240</v>
      </c>
      <c r="E241" s="1">
        <v>43397</v>
      </c>
      <c r="F241" t="s">
        <v>30</v>
      </c>
      <c r="G241" t="s">
        <v>3</v>
      </c>
      <c r="H241">
        <v>600</v>
      </c>
      <c r="I241">
        <v>200</v>
      </c>
      <c r="J241">
        <v>20</v>
      </c>
      <c r="K241">
        <f>Claim[[#This Row],[Monto de prima]]-SUM(Claim[[#This Row],[Costo el reclamo]:[Costo de delivery]])</f>
        <v>380</v>
      </c>
      <c r="L241" t="s">
        <v>12</v>
      </c>
      <c r="M241" t="s">
        <v>19</v>
      </c>
    </row>
    <row r="242" spans="2:13" x14ac:dyDescent="0.35">
      <c r="B242">
        <v>238</v>
      </c>
      <c r="C242">
        <v>4299</v>
      </c>
      <c r="D242" s="1">
        <v>42267</v>
      </c>
      <c r="E242" s="1">
        <v>43585</v>
      </c>
      <c r="F242" t="s">
        <v>30</v>
      </c>
      <c r="G242" t="s">
        <v>2</v>
      </c>
      <c r="H242">
        <v>600</v>
      </c>
      <c r="I242">
        <v>200</v>
      </c>
      <c r="J242">
        <v>35</v>
      </c>
      <c r="K242">
        <f>Claim[[#This Row],[Monto de prima]]-SUM(Claim[[#This Row],[Costo el reclamo]:[Costo de delivery]])</f>
        <v>365</v>
      </c>
      <c r="L242" t="s">
        <v>9</v>
      </c>
      <c r="M242" t="s">
        <v>15</v>
      </c>
    </row>
    <row r="243" spans="2:13" x14ac:dyDescent="0.35">
      <c r="B243">
        <v>239</v>
      </c>
      <c r="C243">
        <v>1845</v>
      </c>
      <c r="D243" s="1">
        <v>42548</v>
      </c>
      <c r="E243" s="1">
        <v>43309</v>
      </c>
      <c r="F243" t="s">
        <v>30</v>
      </c>
      <c r="G243" t="s">
        <v>6</v>
      </c>
      <c r="H243">
        <v>600</v>
      </c>
      <c r="I243">
        <v>200</v>
      </c>
      <c r="J243">
        <v>15</v>
      </c>
      <c r="K243">
        <f>Claim[[#This Row],[Monto de prima]]-SUM(Claim[[#This Row],[Costo el reclamo]:[Costo de delivery]])</f>
        <v>385</v>
      </c>
      <c r="L243" t="s">
        <v>10</v>
      </c>
      <c r="M243" t="s">
        <v>16</v>
      </c>
    </row>
    <row r="244" spans="2:13" x14ac:dyDescent="0.35">
      <c r="B244">
        <v>240</v>
      </c>
      <c r="C244">
        <v>2109</v>
      </c>
      <c r="D244" s="1">
        <v>42017</v>
      </c>
      <c r="E244" s="1">
        <v>42017</v>
      </c>
      <c r="F244" t="s">
        <v>31</v>
      </c>
      <c r="G244" t="s">
        <v>5</v>
      </c>
      <c r="H244">
        <v>2000</v>
      </c>
      <c r="I244">
        <v>800</v>
      </c>
      <c r="J244">
        <v>25</v>
      </c>
      <c r="K244">
        <f>Claim[[#This Row],[Monto de prima]]-SUM(Claim[[#This Row],[Costo el reclamo]:[Costo de delivery]])</f>
        <v>1175</v>
      </c>
      <c r="L244" t="s">
        <v>8</v>
      </c>
      <c r="M244" t="s">
        <v>17</v>
      </c>
    </row>
    <row r="245" spans="2:13" x14ac:dyDescent="0.35">
      <c r="B245">
        <v>241</v>
      </c>
      <c r="C245">
        <v>4045</v>
      </c>
      <c r="D245" s="1">
        <v>40883</v>
      </c>
      <c r="E245" s="1">
        <v>43311</v>
      </c>
      <c r="F245" t="s">
        <v>1</v>
      </c>
      <c r="G245" t="s">
        <v>6</v>
      </c>
      <c r="H245">
        <v>250</v>
      </c>
      <c r="I245">
        <v>450</v>
      </c>
      <c r="J245">
        <v>50</v>
      </c>
      <c r="K245">
        <f>Claim[[#This Row],[Monto de prima]]-SUM(Claim[[#This Row],[Costo el reclamo]:[Costo de delivery]])</f>
        <v>-250</v>
      </c>
      <c r="L245" t="s">
        <v>10</v>
      </c>
      <c r="M245" t="s">
        <v>16</v>
      </c>
    </row>
    <row r="246" spans="2:13" x14ac:dyDescent="0.35">
      <c r="B246">
        <v>242</v>
      </c>
      <c r="C246">
        <v>3668</v>
      </c>
      <c r="D246" s="1">
        <v>40878</v>
      </c>
      <c r="E246" s="1">
        <v>42668</v>
      </c>
      <c r="F246" t="s">
        <v>4</v>
      </c>
      <c r="G246" t="s">
        <v>5</v>
      </c>
      <c r="H246">
        <v>1000</v>
      </c>
      <c r="I246">
        <v>550</v>
      </c>
      <c r="J246">
        <v>50</v>
      </c>
      <c r="K246">
        <f>Claim[[#This Row],[Monto de prima]]-SUM(Claim[[#This Row],[Costo el reclamo]:[Costo de delivery]])</f>
        <v>400</v>
      </c>
      <c r="L246" t="s">
        <v>12</v>
      </c>
      <c r="M246" t="s">
        <v>19</v>
      </c>
    </row>
    <row r="247" spans="2:13" x14ac:dyDescent="0.35">
      <c r="B247">
        <v>243</v>
      </c>
      <c r="C247">
        <v>1240</v>
      </c>
      <c r="D247" s="1">
        <v>40831</v>
      </c>
      <c r="E247" s="1">
        <v>42042</v>
      </c>
      <c r="F247" t="s">
        <v>31</v>
      </c>
      <c r="G247" t="s">
        <v>2</v>
      </c>
      <c r="H247">
        <v>2000</v>
      </c>
      <c r="I247">
        <v>800</v>
      </c>
      <c r="J247">
        <v>40</v>
      </c>
      <c r="K247">
        <f>Claim[[#This Row],[Monto de prima]]-SUM(Claim[[#This Row],[Costo el reclamo]:[Costo de delivery]])</f>
        <v>1160</v>
      </c>
      <c r="L247" t="s">
        <v>8</v>
      </c>
      <c r="M247" t="s">
        <v>17</v>
      </c>
    </row>
    <row r="248" spans="2:13" x14ac:dyDescent="0.35">
      <c r="B248">
        <v>244</v>
      </c>
      <c r="C248">
        <v>4171</v>
      </c>
      <c r="D248" s="1">
        <v>42847</v>
      </c>
      <c r="E248" s="1">
        <v>42847</v>
      </c>
      <c r="F248" t="s">
        <v>4</v>
      </c>
      <c r="G248" t="s">
        <v>6</v>
      </c>
      <c r="H248">
        <v>1000</v>
      </c>
      <c r="I248">
        <v>550</v>
      </c>
      <c r="J248">
        <v>30</v>
      </c>
      <c r="K248">
        <f>Claim[[#This Row],[Monto de prima]]-SUM(Claim[[#This Row],[Costo el reclamo]:[Costo de delivery]])</f>
        <v>420</v>
      </c>
      <c r="L248" t="s">
        <v>7</v>
      </c>
      <c r="M248" t="s">
        <v>16</v>
      </c>
    </row>
    <row r="249" spans="2:13" x14ac:dyDescent="0.35">
      <c r="B249">
        <v>245</v>
      </c>
      <c r="C249">
        <v>3821</v>
      </c>
      <c r="D249" s="1">
        <v>40523</v>
      </c>
      <c r="E249" s="1">
        <v>43193</v>
      </c>
      <c r="F249" t="s">
        <v>30</v>
      </c>
      <c r="G249" t="s">
        <v>2</v>
      </c>
      <c r="H249">
        <v>600</v>
      </c>
      <c r="I249">
        <v>200</v>
      </c>
      <c r="J249">
        <v>35</v>
      </c>
      <c r="K249">
        <f>Claim[[#This Row],[Monto de prima]]-SUM(Claim[[#This Row],[Costo el reclamo]:[Costo de delivery]])</f>
        <v>365</v>
      </c>
      <c r="L249" t="s">
        <v>10</v>
      </c>
      <c r="M249" t="s">
        <v>16</v>
      </c>
    </row>
    <row r="250" spans="2:13" x14ac:dyDescent="0.35">
      <c r="B250">
        <v>246</v>
      </c>
      <c r="C250">
        <v>3717</v>
      </c>
      <c r="D250" s="1">
        <v>41095</v>
      </c>
      <c r="E250" s="1">
        <v>43250</v>
      </c>
      <c r="F250" t="s">
        <v>31</v>
      </c>
      <c r="G250" t="s">
        <v>2</v>
      </c>
      <c r="H250">
        <v>2000</v>
      </c>
      <c r="I250">
        <v>800</v>
      </c>
      <c r="J250">
        <v>40</v>
      </c>
      <c r="K250">
        <f>Claim[[#This Row],[Monto de prima]]-SUM(Claim[[#This Row],[Costo el reclamo]:[Costo de delivery]])</f>
        <v>1160</v>
      </c>
      <c r="L250" t="s">
        <v>10</v>
      </c>
      <c r="M250" t="s">
        <v>16</v>
      </c>
    </row>
    <row r="251" spans="2:13" x14ac:dyDescent="0.35">
      <c r="B251">
        <v>247</v>
      </c>
      <c r="C251">
        <v>4699</v>
      </c>
      <c r="D251" s="1">
        <v>41536</v>
      </c>
      <c r="E251" s="1">
        <v>41902</v>
      </c>
      <c r="F251" t="s">
        <v>30</v>
      </c>
      <c r="G251" t="s">
        <v>2</v>
      </c>
      <c r="H251">
        <v>600</v>
      </c>
      <c r="I251">
        <v>200</v>
      </c>
      <c r="J251">
        <v>35</v>
      </c>
      <c r="K251">
        <f>Claim[[#This Row],[Monto de prima]]-SUM(Claim[[#This Row],[Costo el reclamo]:[Costo de delivery]])</f>
        <v>365</v>
      </c>
      <c r="L251" t="s">
        <v>12</v>
      </c>
      <c r="M251" t="s">
        <v>19</v>
      </c>
    </row>
    <row r="252" spans="2:13" x14ac:dyDescent="0.35">
      <c r="B252">
        <v>248</v>
      </c>
      <c r="C252">
        <v>1267</v>
      </c>
      <c r="D252" s="1">
        <v>43215</v>
      </c>
      <c r="E252" s="1">
        <v>43215</v>
      </c>
      <c r="F252" t="s">
        <v>1</v>
      </c>
      <c r="G252" t="s">
        <v>5</v>
      </c>
      <c r="H252">
        <v>250</v>
      </c>
      <c r="I252">
        <v>450</v>
      </c>
      <c r="J252">
        <v>100</v>
      </c>
      <c r="K252">
        <f>Claim[[#This Row],[Monto de prima]]-SUM(Claim[[#This Row],[Costo el reclamo]:[Costo de delivery]])</f>
        <v>-300</v>
      </c>
      <c r="L252" t="s">
        <v>7</v>
      </c>
      <c r="M252" t="s">
        <v>16</v>
      </c>
    </row>
    <row r="253" spans="2:13" x14ac:dyDescent="0.35">
      <c r="B253">
        <v>249</v>
      </c>
      <c r="C253">
        <v>1334</v>
      </c>
      <c r="D253" s="1">
        <v>41326</v>
      </c>
      <c r="E253" s="1">
        <v>43696</v>
      </c>
      <c r="F253" t="s">
        <v>31</v>
      </c>
      <c r="G253" t="s">
        <v>6</v>
      </c>
      <c r="H253">
        <v>2000</v>
      </c>
      <c r="I253">
        <v>800</v>
      </c>
      <c r="J253">
        <v>20</v>
      </c>
      <c r="K253">
        <f>Claim[[#This Row],[Monto de prima]]-SUM(Claim[[#This Row],[Costo el reclamo]:[Costo de delivery]])</f>
        <v>1180</v>
      </c>
      <c r="L253" t="s">
        <v>13</v>
      </c>
      <c r="M253" t="s">
        <v>14</v>
      </c>
    </row>
    <row r="254" spans="2:13" x14ac:dyDescent="0.35">
      <c r="B254">
        <v>250</v>
      </c>
      <c r="C254">
        <v>1621</v>
      </c>
      <c r="D254" s="1">
        <v>40644</v>
      </c>
      <c r="E254" s="1">
        <v>42230</v>
      </c>
      <c r="F254" t="s">
        <v>4</v>
      </c>
      <c r="G254" t="s">
        <v>6</v>
      </c>
      <c r="H254">
        <v>1000</v>
      </c>
      <c r="I254">
        <v>550</v>
      </c>
      <c r="J254">
        <v>30</v>
      </c>
      <c r="K254">
        <f>Claim[[#This Row],[Monto de prima]]-SUM(Claim[[#This Row],[Costo el reclamo]:[Costo de delivery]])</f>
        <v>420</v>
      </c>
      <c r="L254" t="s">
        <v>10</v>
      </c>
      <c r="M254" t="s">
        <v>16</v>
      </c>
    </row>
    <row r="255" spans="2:13" x14ac:dyDescent="0.35">
      <c r="B255">
        <v>251</v>
      </c>
      <c r="C255">
        <v>2021</v>
      </c>
      <c r="D255" s="1">
        <v>40646</v>
      </c>
      <c r="E255" s="1">
        <v>41623</v>
      </c>
      <c r="F255" t="s">
        <v>30</v>
      </c>
      <c r="G255" t="s">
        <v>2</v>
      </c>
      <c r="H255">
        <v>600</v>
      </c>
      <c r="I255">
        <v>200</v>
      </c>
      <c r="J255">
        <v>35</v>
      </c>
      <c r="K255">
        <f>Claim[[#This Row],[Monto de prima]]-SUM(Claim[[#This Row],[Costo el reclamo]:[Costo de delivery]])</f>
        <v>365</v>
      </c>
      <c r="L255" t="s">
        <v>9</v>
      </c>
      <c r="M255" t="s">
        <v>15</v>
      </c>
    </row>
    <row r="256" spans="2:13" x14ac:dyDescent="0.35">
      <c r="B256">
        <v>252</v>
      </c>
      <c r="C256">
        <v>3886</v>
      </c>
      <c r="D256" s="1">
        <v>42284</v>
      </c>
      <c r="E256" s="1">
        <v>42284</v>
      </c>
      <c r="F256" t="s">
        <v>1</v>
      </c>
      <c r="G256" t="s">
        <v>3</v>
      </c>
      <c r="H256">
        <v>250</v>
      </c>
      <c r="I256">
        <v>450</v>
      </c>
      <c r="J256">
        <v>80</v>
      </c>
      <c r="K256">
        <f>Claim[[#This Row],[Monto de prima]]-SUM(Claim[[#This Row],[Costo el reclamo]:[Costo de delivery]])</f>
        <v>-280</v>
      </c>
      <c r="L256" t="s">
        <v>9</v>
      </c>
      <c r="M256" t="s">
        <v>15</v>
      </c>
    </row>
    <row r="257" spans="2:13" x14ac:dyDescent="0.35">
      <c r="B257">
        <v>253</v>
      </c>
      <c r="C257">
        <v>3738</v>
      </c>
      <c r="D257" s="1">
        <v>42027</v>
      </c>
      <c r="E257" s="1">
        <v>42027</v>
      </c>
      <c r="F257" t="s">
        <v>1</v>
      </c>
      <c r="G257" t="s">
        <v>6</v>
      </c>
      <c r="H257">
        <v>250</v>
      </c>
      <c r="I257">
        <v>450</v>
      </c>
      <c r="J257">
        <v>50</v>
      </c>
      <c r="K257">
        <f>Claim[[#This Row],[Monto de prima]]-SUM(Claim[[#This Row],[Costo el reclamo]:[Costo de delivery]])</f>
        <v>-250</v>
      </c>
      <c r="L257" t="s">
        <v>10</v>
      </c>
      <c r="M257" t="s">
        <v>16</v>
      </c>
    </row>
    <row r="258" spans="2:13" x14ac:dyDescent="0.35">
      <c r="B258">
        <v>254</v>
      </c>
      <c r="C258">
        <v>1358</v>
      </c>
      <c r="D258" s="1">
        <v>40882</v>
      </c>
      <c r="E258" s="1">
        <v>42075</v>
      </c>
      <c r="F258" t="s">
        <v>4</v>
      </c>
      <c r="G258" t="s">
        <v>3</v>
      </c>
      <c r="H258">
        <v>1000</v>
      </c>
      <c r="I258">
        <v>550</v>
      </c>
      <c r="J258">
        <v>80</v>
      </c>
      <c r="K258">
        <f>Claim[[#This Row],[Monto de prima]]-SUM(Claim[[#This Row],[Costo el reclamo]:[Costo de delivery]])</f>
        <v>370</v>
      </c>
      <c r="L258" t="s">
        <v>11</v>
      </c>
      <c r="M258" t="s">
        <v>18</v>
      </c>
    </row>
    <row r="259" spans="2:13" x14ac:dyDescent="0.35">
      <c r="B259">
        <v>255</v>
      </c>
      <c r="C259">
        <v>2146</v>
      </c>
      <c r="D259" s="1">
        <v>42387</v>
      </c>
      <c r="E259" s="1">
        <v>42387</v>
      </c>
      <c r="F259" t="s">
        <v>30</v>
      </c>
      <c r="G259" t="s">
        <v>5</v>
      </c>
      <c r="H259">
        <v>600</v>
      </c>
      <c r="I259">
        <v>200</v>
      </c>
      <c r="J259">
        <v>50</v>
      </c>
      <c r="K259">
        <f>Claim[[#This Row],[Monto de prima]]-SUM(Claim[[#This Row],[Costo el reclamo]:[Costo de delivery]])</f>
        <v>350</v>
      </c>
      <c r="L259" t="s">
        <v>13</v>
      </c>
      <c r="M259" t="s">
        <v>14</v>
      </c>
    </row>
    <row r="260" spans="2:13" x14ac:dyDescent="0.35">
      <c r="B260">
        <v>256</v>
      </c>
      <c r="C260">
        <v>1897</v>
      </c>
      <c r="D260" s="1">
        <v>41331</v>
      </c>
      <c r="E260" s="1">
        <v>41331</v>
      </c>
      <c r="F260" t="s">
        <v>1</v>
      </c>
      <c r="G260" t="s">
        <v>5</v>
      </c>
      <c r="H260">
        <v>250</v>
      </c>
      <c r="I260">
        <v>450</v>
      </c>
      <c r="J260">
        <v>100</v>
      </c>
      <c r="K260">
        <f>Claim[[#This Row],[Monto de prima]]-SUM(Claim[[#This Row],[Costo el reclamo]:[Costo de delivery]])</f>
        <v>-300</v>
      </c>
      <c r="L260" t="s">
        <v>11</v>
      </c>
      <c r="M260" t="s">
        <v>18</v>
      </c>
    </row>
    <row r="261" spans="2:13" x14ac:dyDescent="0.35">
      <c r="B261">
        <v>257</v>
      </c>
      <c r="C261">
        <v>1155</v>
      </c>
      <c r="D261" s="1">
        <v>41038</v>
      </c>
      <c r="E261" s="1">
        <v>41208</v>
      </c>
      <c r="F261" t="s">
        <v>4</v>
      </c>
      <c r="G261" t="s">
        <v>6</v>
      </c>
      <c r="H261">
        <v>1000</v>
      </c>
      <c r="I261">
        <v>550</v>
      </c>
      <c r="J261">
        <v>30</v>
      </c>
      <c r="K261">
        <f>Claim[[#This Row],[Monto de prima]]-SUM(Claim[[#This Row],[Costo el reclamo]:[Costo de delivery]])</f>
        <v>420</v>
      </c>
      <c r="L261" t="s">
        <v>7</v>
      </c>
      <c r="M261" t="s">
        <v>16</v>
      </c>
    </row>
    <row r="262" spans="2:13" x14ac:dyDescent="0.35">
      <c r="B262">
        <v>258</v>
      </c>
      <c r="C262">
        <v>1586</v>
      </c>
      <c r="D262" s="1">
        <v>42240</v>
      </c>
      <c r="E262" s="1">
        <v>42240</v>
      </c>
      <c r="F262" t="s">
        <v>30</v>
      </c>
      <c r="G262" t="s">
        <v>3</v>
      </c>
      <c r="H262">
        <v>600</v>
      </c>
      <c r="I262">
        <v>200</v>
      </c>
      <c r="J262">
        <v>20</v>
      </c>
      <c r="K262">
        <f>Claim[[#This Row],[Monto de prima]]-SUM(Claim[[#This Row],[Costo el reclamo]:[Costo de delivery]])</f>
        <v>380</v>
      </c>
      <c r="L262" t="s">
        <v>11</v>
      </c>
      <c r="M262" t="s">
        <v>18</v>
      </c>
    </row>
    <row r="263" spans="2:13" x14ac:dyDescent="0.35">
      <c r="B263">
        <v>259</v>
      </c>
      <c r="C263">
        <v>2354</v>
      </c>
      <c r="D263" s="1">
        <v>42639</v>
      </c>
      <c r="E263" s="1">
        <v>42639</v>
      </c>
      <c r="F263" t="s">
        <v>30</v>
      </c>
      <c r="G263" t="s">
        <v>3</v>
      </c>
      <c r="H263">
        <v>600</v>
      </c>
      <c r="I263">
        <v>200</v>
      </c>
      <c r="J263">
        <v>20</v>
      </c>
      <c r="K263">
        <f>Claim[[#This Row],[Monto de prima]]-SUM(Claim[[#This Row],[Costo el reclamo]:[Costo de delivery]])</f>
        <v>380</v>
      </c>
      <c r="L263" t="s">
        <v>13</v>
      </c>
      <c r="M263" t="s">
        <v>14</v>
      </c>
    </row>
    <row r="264" spans="2:13" x14ac:dyDescent="0.35">
      <c r="B264">
        <v>260</v>
      </c>
      <c r="C264">
        <v>2017</v>
      </c>
      <c r="D264" s="1">
        <v>41876</v>
      </c>
      <c r="E264" s="1">
        <v>41876</v>
      </c>
      <c r="F264" t="s">
        <v>1</v>
      </c>
      <c r="G264" t="s">
        <v>6</v>
      </c>
      <c r="H264">
        <v>250</v>
      </c>
      <c r="I264">
        <v>450</v>
      </c>
      <c r="J264">
        <v>50</v>
      </c>
      <c r="K264">
        <f>Claim[[#This Row],[Monto de prima]]-SUM(Claim[[#This Row],[Costo el reclamo]:[Costo de delivery]])</f>
        <v>-250</v>
      </c>
      <c r="L264" t="s">
        <v>12</v>
      </c>
      <c r="M264" t="s">
        <v>19</v>
      </c>
    </row>
    <row r="265" spans="2:13" x14ac:dyDescent="0.35">
      <c r="B265">
        <v>261</v>
      </c>
      <c r="C265">
        <v>4833</v>
      </c>
      <c r="D265" s="1">
        <v>41914</v>
      </c>
      <c r="E265" s="1">
        <v>43395</v>
      </c>
      <c r="F265" t="s">
        <v>30</v>
      </c>
      <c r="G265" t="s">
        <v>5</v>
      </c>
      <c r="H265">
        <v>600</v>
      </c>
      <c r="I265">
        <v>200</v>
      </c>
      <c r="J265">
        <v>50</v>
      </c>
      <c r="K265">
        <f>Claim[[#This Row],[Monto de prima]]-SUM(Claim[[#This Row],[Costo el reclamo]:[Costo de delivery]])</f>
        <v>350</v>
      </c>
      <c r="L265" t="s">
        <v>11</v>
      </c>
      <c r="M265" t="s">
        <v>18</v>
      </c>
    </row>
    <row r="266" spans="2:13" x14ac:dyDescent="0.35">
      <c r="B266">
        <v>262</v>
      </c>
      <c r="C266">
        <v>1139</v>
      </c>
      <c r="D266" s="1">
        <v>41559</v>
      </c>
      <c r="E266" s="1">
        <v>43051</v>
      </c>
      <c r="F266" t="s">
        <v>30</v>
      </c>
      <c r="G266" t="s">
        <v>5</v>
      </c>
      <c r="H266">
        <v>600</v>
      </c>
      <c r="I266">
        <v>200</v>
      </c>
      <c r="J266">
        <v>50</v>
      </c>
      <c r="K266">
        <f>Claim[[#This Row],[Monto de prima]]-SUM(Claim[[#This Row],[Costo el reclamo]:[Costo de delivery]])</f>
        <v>350</v>
      </c>
      <c r="L266" t="s">
        <v>10</v>
      </c>
      <c r="M266" t="s">
        <v>16</v>
      </c>
    </row>
    <row r="267" spans="2:13" x14ac:dyDescent="0.35">
      <c r="B267">
        <v>263</v>
      </c>
      <c r="C267">
        <v>2857</v>
      </c>
      <c r="D267" s="1">
        <v>41332</v>
      </c>
      <c r="E267" s="1">
        <v>43541</v>
      </c>
      <c r="F267" t="s">
        <v>1</v>
      </c>
      <c r="G267" t="s">
        <v>6</v>
      </c>
      <c r="H267">
        <v>250</v>
      </c>
      <c r="I267">
        <v>450</v>
      </c>
      <c r="J267">
        <v>50</v>
      </c>
      <c r="K267">
        <f>Claim[[#This Row],[Monto de prima]]-SUM(Claim[[#This Row],[Costo el reclamo]:[Costo de delivery]])</f>
        <v>-250</v>
      </c>
      <c r="L267" t="s">
        <v>13</v>
      </c>
      <c r="M267" t="s">
        <v>14</v>
      </c>
    </row>
    <row r="268" spans="2:13" x14ac:dyDescent="0.35">
      <c r="B268">
        <v>264</v>
      </c>
      <c r="C268">
        <v>3625</v>
      </c>
      <c r="D268" s="1">
        <v>40678</v>
      </c>
      <c r="E268" s="1">
        <v>42471</v>
      </c>
      <c r="F268" t="s">
        <v>30</v>
      </c>
      <c r="G268" t="s">
        <v>6</v>
      </c>
      <c r="H268">
        <v>600</v>
      </c>
      <c r="I268">
        <v>200</v>
      </c>
      <c r="J268">
        <v>15</v>
      </c>
      <c r="K268">
        <f>Claim[[#This Row],[Monto de prima]]-SUM(Claim[[#This Row],[Costo el reclamo]:[Costo de delivery]])</f>
        <v>385</v>
      </c>
      <c r="L268" t="s">
        <v>12</v>
      </c>
      <c r="M268" t="s">
        <v>19</v>
      </c>
    </row>
    <row r="269" spans="2:13" x14ac:dyDescent="0.35">
      <c r="B269">
        <v>265</v>
      </c>
      <c r="C269">
        <v>4898</v>
      </c>
      <c r="D269" s="1">
        <v>41621</v>
      </c>
      <c r="E269" s="1">
        <v>42739</v>
      </c>
      <c r="F269" t="s">
        <v>1</v>
      </c>
      <c r="G269" t="s">
        <v>6</v>
      </c>
      <c r="H269">
        <v>250</v>
      </c>
      <c r="I269">
        <v>450</v>
      </c>
      <c r="J269">
        <v>50</v>
      </c>
      <c r="K269">
        <f>Claim[[#This Row],[Monto de prima]]-SUM(Claim[[#This Row],[Costo el reclamo]:[Costo de delivery]])</f>
        <v>-250</v>
      </c>
      <c r="L269" t="s">
        <v>10</v>
      </c>
      <c r="M269" t="s">
        <v>16</v>
      </c>
    </row>
    <row r="270" spans="2:13" x14ac:dyDescent="0.35">
      <c r="B270">
        <v>266</v>
      </c>
      <c r="C270">
        <v>1295</v>
      </c>
      <c r="D270" s="1">
        <v>43107</v>
      </c>
      <c r="E270" s="1">
        <v>43522</v>
      </c>
      <c r="F270" t="s">
        <v>1</v>
      </c>
      <c r="G270" t="s">
        <v>2</v>
      </c>
      <c r="H270">
        <v>250</v>
      </c>
      <c r="I270">
        <v>450</v>
      </c>
      <c r="J270">
        <v>30</v>
      </c>
      <c r="K270">
        <f>Claim[[#This Row],[Monto de prima]]-SUM(Claim[[#This Row],[Costo el reclamo]:[Costo de delivery]])</f>
        <v>-230</v>
      </c>
      <c r="L270" t="s">
        <v>7</v>
      </c>
      <c r="M270" t="s">
        <v>16</v>
      </c>
    </row>
    <row r="271" spans="2:13" x14ac:dyDescent="0.35">
      <c r="B271">
        <v>267</v>
      </c>
      <c r="C271">
        <v>1238</v>
      </c>
      <c r="D271" s="1">
        <v>41510</v>
      </c>
      <c r="E271" s="1">
        <v>41951</v>
      </c>
      <c r="F271" t="s">
        <v>4</v>
      </c>
      <c r="G271" t="s">
        <v>3</v>
      </c>
      <c r="H271">
        <v>1000</v>
      </c>
      <c r="I271">
        <v>550</v>
      </c>
      <c r="J271">
        <v>80</v>
      </c>
      <c r="K271">
        <f>Claim[[#This Row],[Monto de prima]]-SUM(Claim[[#This Row],[Costo el reclamo]:[Costo de delivery]])</f>
        <v>370</v>
      </c>
      <c r="L271" t="s">
        <v>9</v>
      </c>
      <c r="M271" t="s">
        <v>15</v>
      </c>
    </row>
    <row r="272" spans="2:13" x14ac:dyDescent="0.35">
      <c r="B272">
        <v>268</v>
      </c>
      <c r="C272">
        <v>2491</v>
      </c>
      <c r="D272" s="1">
        <v>41916</v>
      </c>
      <c r="E272" s="1">
        <v>42692</v>
      </c>
      <c r="F272" t="s">
        <v>31</v>
      </c>
      <c r="G272" t="s">
        <v>2</v>
      </c>
      <c r="H272">
        <v>2000</v>
      </c>
      <c r="I272">
        <v>800</v>
      </c>
      <c r="J272">
        <v>40</v>
      </c>
      <c r="K272">
        <f>Claim[[#This Row],[Monto de prima]]-SUM(Claim[[#This Row],[Costo el reclamo]:[Costo de delivery]])</f>
        <v>1160</v>
      </c>
      <c r="L272" t="s">
        <v>13</v>
      </c>
      <c r="M272" t="s">
        <v>14</v>
      </c>
    </row>
    <row r="273" spans="2:13" x14ac:dyDescent="0.35">
      <c r="B273">
        <v>269</v>
      </c>
      <c r="C273">
        <v>4527</v>
      </c>
      <c r="D273" s="1">
        <v>42376</v>
      </c>
      <c r="E273" s="1">
        <v>42720</v>
      </c>
      <c r="F273" t="s">
        <v>4</v>
      </c>
      <c r="G273" t="s">
        <v>5</v>
      </c>
      <c r="H273">
        <v>1000</v>
      </c>
      <c r="I273">
        <v>550</v>
      </c>
      <c r="J273">
        <v>50</v>
      </c>
      <c r="K273">
        <f>Claim[[#This Row],[Monto de prima]]-SUM(Claim[[#This Row],[Costo el reclamo]:[Costo de delivery]])</f>
        <v>400</v>
      </c>
      <c r="L273" t="s">
        <v>13</v>
      </c>
      <c r="M273" t="s">
        <v>14</v>
      </c>
    </row>
    <row r="274" spans="2:13" x14ac:dyDescent="0.35">
      <c r="B274">
        <v>270</v>
      </c>
      <c r="C274">
        <v>2384</v>
      </c>
      <c r="D274" s="1">
        <v>40773</v>
      </c>
      <c r="E274" s="1">
        <v>42329</v>
      </c>
      <c r="F274" t="s">
        <v>4</v>
      </c>
      <c r="G274" t="s">
        <v>6</v>
      </c>
      <c r="H274">
        <v>1000</v>
      </c>
      <c r="I274">
        <v>550</v>
      </c>
      <c r="J274">
        <v>30</v>
      </c>
      <c r="K274">
        <f>Claim[[#This Row],[Monto de prima]]-SUM(Claim[[#This Row],[Costo el reclamo]:[Costo de delivery]])</f>
        <v>420</v>
      </c>
      <c r="L274" t="s">
        <v>10</v>
      </c>
      <c r="M274" t="s">
        <v>16</v>
      </c>
    </row>
    <row r="275" spans="2:13" x14ac:dyDescent="0.35">
      <c r="B275">
        <v>271</v>
      </c>
      <c r="C275">
        <v>2822</v>
      </c>
      <c r="D275" s="1">
        <v>42067</v>
      </c>
      <c r="E275" s="1">
        <v>42733</v>
      </c>
      <c r="F275" t="s">
        <v>31</v>
      </c>
      <c r="G275" t="s">
        <v>2</v>
      </c>
      <c r="H275">
        <v>2000</v>
      </c>
      <c r="I275">
        <v>800</v>
      </c>
      <c r="J275">
        <v>40</v>
      </c>
      <c r="K275">
        <f>Claim[[#This Row],[Monto de prima]]-SUM(Claim[[#This Row],[Costo el reclamo]:[Costo de delivery]])</f>
        <v>1160</v>
      </c>
      <c r="L275" t="s">
        <v>9</v>
      </c>
      <c r="M275" t="s">
        <v>15</v>
      </c>
    </row>
    <row r="276" spans="2:13" x14ac:dyDescent="0.35">
      <c r="B276">
        <v>272</v>
      </c>
      <c r="C276">
        <v>4631</v>
      </c>
      <c r="D276" s="1">
        <v>40882</v>
      </c>
      <c r="E276" s="1">
        <v>43770</v>
      </c>
      <c r="F276" t="s">
        <v>4</v>
      </c>
      <c r="G276" t="s">
        <v>5</v>
      </c>
      <c r="H276">
        <v>1000</v>
      </c>
      <c r="I276">
        <v>550</v>
      </c>
      <c r="J276">
        <v>50</v>
      </c>
      <c r="K276">
        <f>Claim[[#This Row],[Monto de prima]]-SUM(Claim[[#This Row],[Costo el reclamo]:[Costo de delivery]])</f>
        <v>400</v>
      </c>
      <c r="L276" t="s">
        <v>11</v>
      </c>
      <c r="M276" t="s">
        <v>18</v>
      </c>
    </row>
    <row r="277" spans="2:13" x14ac:dyDescent="0.35">
      <c r="B277">
        <v>273</v>
      </c>
      <c r="C277">
        <v>4432</v>
      </c>
      <c r="D277" s="1">
        <v>43048</v>
      </c>
      <c r="E277" s="1">
        <v>43048</v>
      </c>
      <c r="F277" t="s">
        <v>31</v>
      </c>
      <c r="G277" t="s">
        <v>2</v>
      </c>
      <c r="H277">
        <v>2000</v>
      </c>
      <c r="I277">
        <v>800</v>
      </c>
      <c r="J277">
        <v>40</v>
      </c>
      <c r="K277">
        <f>Claim[[#This Row],[Monto de prima]]-SUM(Claim[[#This Row],[Costo el reclamo]:[Costo de delivery]])</f>
        <v>1160</v>
      </c>
      <c r="L277" t="s">
        <v>7</v>
      </c>
      <c r="M277" t="s">
        <v>16</v>
      </c>
    </row>
    <row r="278" spans="2:13" x14ac:dyDescent="0.35">
      <c r="B278">
        <v>274</v>
      </c>
      <c r="C278">
        <v>3041</v>
      </c>
      <c r="D278" s="1">
        <v>40653</v>
      </c>
      <c r="E278" s="1">
        <v>41455</v>
      </c>
      <c r="F278" t="s">
        <v>1</v>
      </c>
      <c r="G278" t="s">
        <v>3</v>
      </c>
      <c r="H278">
        <v>250</v>
      </c>
      <c r="I278">
        <v>450</v>
      </c>
      <c r="J278">
        <v>80</v>
      </c>
      <c r="K278">
        <f>Claim[[#This Row],[Monto de prima]]-SUM(Claim[[#This Row],[Costo el reclamo]:[Costo de delivery]])</f>
        <v>-280</v>
      </c>
      <c r="L278" t="s">
        <v>10</v>
      </c>
      <c r="M278" t="s">
        <v>16</v>
      </c>
    </row>
    <row r="279" spans="2:13" x14ac:dyDescent="0.35">
      <c r="B279">
        <v>275</v>
      </c>
      <c r="C279">
        <v>3791</v>
      </c>
      <c r="D279" s="1">
        <v>41865</v>
      </c>
      <c r="E279" s="1">
        <v>41865</v>
      </c>
      <c r="F279" t="s">
        <v>31</v>
      </c>
      <c r="G279" t="s">
        <v>2</v>
      </c>
      <c r="H279">
        <v>2000</v>
      </c>
      <c r="I279">
        <v>800</v>
      </c>
      <c r="J279">
        <v>40</v>
      </c>
      <c r="K279">
        <f>Claim[[#This Row],[Monto de prima]]-SUM(Claim[[#This Row],[Costo el reclamo]:[Costo de delivery]])</f>
        <v>1160</v>
      </c>
      <c r="L279" t="s">
        <v>8</v>
      </c>
      <c r="M279" t="s">
        <v>17</v>
      </c>
    </row>
    <row r="280" spans="2:13" x14ac:dyDescent="0.35">
      <c r="B280">
        <v>276</v>
      </c>
      <c r="C280">
        <v>2443</v>
      </c>
      <c r="D280" s="1">
        <v>40340</v>
      </c>
      <c r="E280" s="1">
        <v>42145</v>
      </c>
      <c r="F280" t="s">
        <v>31</v>
      </c>
      <c r="G280" t="s">
        <v>6</v>
      </c>
      <c r="H280">
        <v>2000</v>
      </c>
      <c r="I280">
        <v>800</v>
      </c>
      <c r="J280">
        <v>20</v>
      </c>
      <c r="K280">
        <f>Claim[[#This Row],[Monto de prima]]-SUM(Claim[[#This Row],[Costo el reclamo]:[Costo de delivery]])</f>
        <v>1180</v>
      </c>
      <c r="L280" t="s">
        <v>11</v>
      </c>
      <c r="M280" t="s">
        <v>18</v>
      </c>
    </row>
    <row r="281" spans="2:13" x14ac:dyDescent="0.35">
      <c r="B281">
        <v>277</v>
      </c>
      <c r="C281">
        <v>1948</v>
      </c>
      <c r="D281" s="1">
        <v>40399</v>
      </c>
      <c r="E281" s="1">
        <v>42544</v>
      </c>
      <c r="F281" t="s">
        <v>1</v>
      </c>
      <c r="G281" t="s">
        <v>2</v>
      </c>
      <c r="H281">
        <v>250</v>
      </c>
      <c r="I281">
        <v>450</v>
      </c>
      <c r="J281">
        <v>30</v>
      </c>
      <c r="K281">
        <f>Claim[[#This Row],[Monto de prima]]-SUM(Claim[[#This Row],[Costo el reclamo]:[Costo de delivery]])</f>
        <v>-230</v>
      </c>
      <c r="L281" t="s">
        <v>11</v>
      </c>
      <c r="M281" t="s">
        <v>18</v>
      </c>
    </row>
    <row r="282" spans="2:13" x14ac:dyDescent="0.35">
      <c r="B282">
        <v>278</v>
      </c>
      <c r="C282">
        <v>4353</v>
      </c>
      <c r="D282" s="1">
        <v>40402</v>
      </c>
      <c r="E282" s="1">
        <v>43305</v>
      </c>
      <c r="F282" t="s">
        <v>30</v>
      </c>
      <c r="G282" t="s">
        <v>5</v>
      </c>
      <c r="H282">
        <v>600</v>
      </c>
      <c r="I282">
        <v>200</v>
      </c>
      <c r="J282">
        <v>50</v>
      </c>
      <c r="K282">
        <f>Claim[[#This Row],[Monto de prima]]-SUM(Claim[[#This Row],[Costo el reclamo]:[Costo de delivery]])</f>
        <v>350</v>
      </c>
      <c r="L282" t="s">
        <v>7</v>
      </c>
      <c r="M282" t="s">
        <v>16</v>
      </c>
    </row>
    <row r="283" spans="2:13" x14ac:dyDescent="0.35">
      <c r="B283">
        <v>279</v>
      </c>
      <c r="C283">
        <v>2337</v>
      </c>
      <c r="D283" s="1">
        <v>42192</v>
      </c>
      <c r="E283" s="1">
        <v>42506</v>
      </c>
      <c r="F283" t="s">
        <v>30</v>
      </c>
      <c r="G283" t="s">
        <v>6</v>
      </c>
      <c r="H283">
        <v>600</v>
      </c>
      <c r="I283">
        <v>200</v>
      </c>
      <c r="J283">
        <v>15</v>
      </c>
      <c r="K283">
        <f>Claim[[#This Row],[Monto de prima]]-SUM(Claim[[#This Row],[Costo el reclamo]:[Costo de delivery]])</f>
        <v>385</v>
      </c>
      <c r="L283" t="s">
        <v>8</v>
      </c>
      <c r="M283" t="s">
        <v>17</v>
      </c>
    </row>
    <row r="284" spans="2:13" x14ac:dyDescent="0.35">
      <c r="B284">
        <v>280</v>
      </c>
      <c r="C284">
        <v>4279</v>
      </c>
      <c r="D284" s="1">
        <v>40240</v>
      </c>
      <c r="E284" s="1">
        <v>43101</v>
      </c>
      <c r="F284" t="s">
        <v>1</v>
      </c>
      <c r="G284" t="s">
        <v>3</v>
      </c>
      <c r="H284">
        <v>250</v>
      </c>
      <c r="I284">
        <v>450</v>
      </c>
      <c r="J284">
        <v>80</v>
      </c>
      <c r="K284">
        <f>Claim[[#This Row],[Monto de prima]]-SUM(Claim[[#This Row],[Costo el reclamo]:[Costo de delivery]])</f>
        <v>-280</v>
      </c>
      <c r="L284" t="s">
        <v>8</v>
      </c>
      <c r="M284" t="s">
        <v>17</v>
      </c>
    </row>
    <row r="285" spans="2:13" x14ac:dyDescent="0.35">
      <c r="B285">
        <v>281</v>
      </c>
      <c r="C285">
        <v>4633</v>
      </c>
      <c r="D285" s="1">
        <v>41803</v>
      </c>
      <c r="E285" s="1">
        <v>42049</v>
      </c>
      <c r="F285" t="s">
        <v>4</v>
      </c>
      <c r="G285" t="s">
        <v>3</v>
      </c>
      <c r="H285">
        <v>1000</v>
      </c>
      <c r="I285">
        <v>550</v>
      </c>
      <c r="J285">
        <v>80</v>
      </c>
      <c r="K285">
        <f>Claim[[#This Row],[Monto de prima]]-SUM(Claim[[#This Row],[Costo el reclamo]:[Costo de delivery]])</f>
        <v>370</v>
      </c>
      <c r="L285" t="s">
        <v>10</v>
      </c>
      <c r="M285" t="s">
        <v>16</v>
      </c>
    </row>
    <row r="286" spans="2:13" x14ac:dyDescent="0.35">
      <c r="B286">
        <v>282</v>
      </c>
      <c r="C286">
        <v>2994</v>
      </c>
      <c r="D286" s="1">
        <v>41852</v>
      </c>
      <c r="E286" s="1">
        <v>42957</v>
      </c>
      <c r="F286" t="s">
        <v>4</v>
      </c>
      <c r="G286" t="s">
        <v>5</v>
      </c>
      <c r="H286">
        <v>1000</v>
      </c>
      <c r="I286">
        <v>550</v>
      </c>
      <c r="J286">
        <v>50</v>
      </c>
      <c r="K286">
        <f>Claim[[#This Row],[Monto de prima]]-SUM(Claim[[#This Row],[Costo el reclamo]:[Costo de delivery]])</f>
        <v>400</v>
      </c>
      <c r="L286" t="s">
        <v>12</v>
      </c>
      <c r="M286" t="s">
        <v>19</v>
      </c>
    </row>
    <row r="287" spans="2:13" x14ac:dyDescent="0.35">
      <c r="B287">
        <v>283</v>
      </c>
      <c r="C287">
        <v>1142</v>
      </c>
      <c r="D287" s="1">
        <v>41714</v>
      </c>
      <c r="E287" s="1">
        <v>43383</v>
      </c>
      <c r="F287" t="s">
        <v>1</v>
      </c>
      <c r="G287" t="s">
        <v>5</v>
      </c>
      <c r="H287">
        <v>250</v>
      </c>
      <c r="I287">
        <v>450</v>
      </c>
      <c r="J287">
        <v>100</v>
      </c>
      <c r="K287">
        <f>Claim[[#This Row],[Monto de prima]]-SUM(Claim[[#This Row],[Costo el reclamo]:[Costo de delivery]])</f>
        <v>-300</v>
      </c>
      <c r="L287" t="s">
        <v>11</v>
      </c>
      <c r="M287" t="s">
        <v>18</v>
      </c>
    </row>
    <row r="288" spans="2:13" x14ac:dyDescent="0.35">
      <c r="B288">
        <v>284</v>
      </c>
      <c r="C288">
        <v>4838</v>
      </c>
      <c r="D288" s="1">
        <v>42498</v>
      </c>
      <c r="E288" s="1">
        <v>42498</v>
      </c>
      <c r="F288" t="s">
        <v>1</v>
      </c>
      <c r="G288" t="s">
        <v>3</v>
      </c>
      <c r="H288">
        <v>250</v>
      </c>
      <c r="I288">
        <v>450</v>
      </c>
      <c r="J288">
        <v>80</v>
      </c>
      <c r="K288">
        <f>Claim[[#This Row],[Monto de prima]]-SUM(Claim[[#This Row],[Costo el reclamo]:[Costo de delivery]])</f>
        <v>-280</v>
      </c>
      <c r="L288" t="s">
        <v>11</v>
      </c>
      <c r="M288" t="s">
        <v>18</v>
      </c>
    </row>
    <row r="289" spans="2:13" x14ac:dyDescent="0.35">
      <c r="B289">
        <v>285</v>
      </c>
      <c r="C289">
        <v>4376</v>
      </c>
      <c r="D289" s="1">
        <v>41156</v>
      </c>
      <c r="E289" s="1">
        <v>42373</v>
      </c>
      <c r="F289" t="s">
        <v>30</v>
      </c>
      <c r="G289" t="s">
        <v>5</v>
      </c>
      <c r="H289">
        <v>600</v>
      </c>
      <c r="I289">
        <v>200</v>
      </c>
      <c r="J289">
        <v>50</v>
      </c>
      <c r="K289">
        <f>Claim[[#This Row],[Monto de prima]]-SUM(Claim[[#This Row],[Costo el reclamo]:[Costo de delivery]])</f>
        <v>350</v>
      </c>
      <c r="L289" t="s">
        <v>13</v>
      </c>
      <c r="M289" t="s">
        <v>14</v>
      </c>
    </row>
    <row r="290" spans="2:13" x14ac:dyDescent="0.35">
      <c r="B290">
        <v>286</v>
      </c>
      <c r="C290">
        <v>4805</v>
      </c>
      <c r="D290" s="1">
        <v>41559</v>
      </c>
      <c r="E290" s="1">
        <v>41659</v>
      </c>
      <c r="F290" t="s">
        <v>31</v>
      </c>
      <c r="G290" t="s">
        <v>5</v>
      </c>
      <c r="H290">
        <v>2000</v>
      </c>
      <c r="I290">
        <v>800</v>
      </c>
      <c r="J290">
        <v>25</v>
      </c>
      <c r="K290">
        <f>Claim[[#This Row],[Monto de prima]]-SUM(Claim[[#This Row],[Costo el reclamo]:[Costo de delivery]])</f>
        <v>1175</v>
      </c>
      <c r="L290" t="s">
        <v>10</v>
      </c>
      <c r="M290" t="s">
        <v>16</v>
      </c>
    </row>
    <row r="291" spans="2:13" x14ac:dyDescent="0.35">
      <c r="B291">
        <v>287</v>
      </c>
      <c r="C291">
        <v>4079</v>
      </c>
      <c r="D291" s="1">
        <v>43190</v>
      </c>
      <c r="E291" s="1">
        <v>43190</v>
      </c>
      <c r="F291" t="s">
        <v>31</v>
      </c>
      <c r="G291" t="s">
        <v>2</v>
      </c>
      <c r="H291">
        <v>2000</v>
      </c>
      <c r="I291">
        <v>800</v>
      </c>
      <c r="J291">
        <v>40</v>
      </c>
      <c r="K291">
        <f>Claim[[#This Row],[Monto de prima]]-SUM(Claim[[#This Row],[Costo el reclamo]:[Costo de delivery]])</f>
        <v>1160</v>
      </c>
      <c r="L291" t="s">
        <v>13</v>
      </c>
      <c r="M291" t="s">
        <v>14</v>
      </c>
    </row>
    <row r="292" spans="2:13" x14ac:dyDescent="0.35">
      <c r="B292">
        <v>288</v>
      </c>
      <c r="C292">
        <v>2299</v>
      </c>
      <c r="D292" s="1">
        <v>41102</v>
      </c>
      <c r="E292" s="1">
        <v>42915</v>
      </c>
      <c r="F292" t="s">
        <v>4</v>
      </c>
      <c r="G292" t="s">
        <v>3</v>
      </c>
      <c r="H292">
        <v>1000</v>
      </c>
      <c r="I292">
        <v>550</v>
      </c>
      <c r="J292">
        <v>80</v>
      </c>
      <c r="K292">
        <f>Claim[[#This Row],[Monto de prima]]-SUM(Claim[[#This Row],[Costo el reclamo]:[Costo de delivery]])</f>
        <v>370</v>
      </c>
      <c r="L292" t="s">
        <v>8</v>
      </c>
      <c r="M292" t="s">
        <v>17</v>
      </c>
    </row>
    <row r="293" spans="2:13" x14ac:dyDescent="0.35">
      <c r="B293">
        <v>289</v>
      </c>
      <c r="C293">
        <v>1094</v>
      </c>
      <c r="D293" s="1">
        <v>43005</v>
      </c>
      <c r="E293" s="1">
        <v>43005</v>
      </c>
      <c r="F293" t="s">
        <v>31</v>
      </c>
      <c r="G293" t="s">
        <v>5</v>
      </c>
      <c r="H293">
        <v>2000</v>
      </c>
      <c r="I293">
        <v>800</v>
      </c>
      <c r="J293">
        <v>25</v>
      </c>
      <c r="K293">
        <f>Claim[[#This Row],[Monto de prima]]-SUM(Claim[[#This Row],[Costo el reclamo]:[Costo de delivery]])</f>
        <v>1175</v>
      </c>
      <c r="L293" t="s">
        <v>11</v>
      </c>
      <c r="M293" t="s">
        <v>18</v>
      </c>
    </row>
    <row r="294" spans="2:13" x14ac:dyDescent="0.35">
      <c r="B294">
        <v>290</v>
      </c>
      <c r="C294">
        <v>3058</v>
      </c>
      <c r="D294" s="1">
        <v>42362</v>
      </c>
      <c r="E294" s="1">
        <v>42362</v>
      </c>
      <c r="F294" t="s">
        <v>1</v>
      </c>
      <c r="G294" t="s">
        <v>3</v>
      </c>
      <c r="H294">
        <v>250</v>
      </c>
      <c r="I294">
        <v>450</v>
      </c>
      <c r="J294">
        <v>80</v>
      </c>
      <c r="K294">
        <f>Claim[[#This Row],[Monto de prima]]-SUM(Claim[[#This Row],[Costo el reclamo]:[Costo de delivery]])</f>
        <v>-280</v>
      </c>
      <c r="L294" t="s">
        <v>11</v>
      </c>
      <c r="M294" t="s">
        <v>18</v>
      </c>
    </row>
    <row r="295" spans="2:13" x14ac:dyDescent="0.35">
      <c r="B295">
        <v>291</v>
      </c>
      <c r="C295">
        <v>2892</v>
      </c>
      <c r="D295" s="1">
        <v>40533</v>
      </c>
      <c r="E295" s="1">
        <v>43807</v>
      </c>
      <c r="F295" t="s">
        <v>30</v>
      </c>
      <c r="G295" t="s">
        <v>6</v>
      </c>
      <c r="H295">
        <v>600</v>
      </c>
      <c r="I295">
        <v>200</v>
      </c>
      <c r="J295">
        <v>15</v>
      </c>
      <c r="K295">
        <f>Claim[[#This Row],[Monto de prima]]-SUM(Claim[[#This Row],[Costo el reclamo]:[Costo de delivery]])</f>
        <v>385</v>
      </c>
      <c r="L295" t="s">
        <v>8</v>
      </c>
      <c r="M295" t="s">
        <v>17</v>
      </c>
    </row>
    <row r="296" spans="2:13" x14ac:dyDescent="0.35">
      <c r="B296">
        <v>292</v>
      </c>
      <c r="C296">
        <v>2232</v>
      </c>
      <c r="D296" s="1">
        <v>40883</v>
      </c>
      <c r="E296" s="1">
        <v>43105</v>
      </c>
      <c r="F296" t="s">
        <v>31</v>
      </c>
      <c r="G296" t="s">
        <v>3</v>
      </c>
      <c r="H296">
        <v>2000</v>
      </c>
      <c r="I296">
        <v>800</v>
      </c>
      <c r="J296">
        <v>30</v>
      </c>
      <c r="K296">
        <f>Claim[[#This Row],[Monto de prima]]-SUM(Claim[[#This Row],[Costo el reclamo]:[Costo de delivery]])</f>
        <v>1170</v>
      </c>
      <c r="L296" t="s">
        <v>8</v>
      </c>
      <c r="M296" t="s">
        <v>17</v>
      </c>
    </row>
    <row r="297" spans="2:13" x14ac:dyDescent="0.35">
      <c r="B297">
        <v>293</v>
      </c>
      <c r="C297">
        <v>3126</v>
      </c>
      <c r="D297" s="1">
        <v>41276</v>
      </c>
      <c r="E297" s="1">
        <v>42902</v>
      </c>
      <c r="F297" t="s">
        <v>4</v>
      </c>
      <c r="G297" t="s">
        <v>3</v>
      </c>
      <c r="H297">
        <v>1000</v>
      </c>
      <c r="I297">
        <v>550</v>
      </c>
      <c r="J297">
        <v>80</v>
      </c>
      <c r="K297">
        <f>Claim[[#This Row],[Monto de prima]]-SUM(Claim[[#This Row],[Costo el reclamo]:[Costo de delivery]])</f>
        <v>370</v>
      </c>
      <c r="L297" t="s">
        <v>13</v>
      </c>
      <c r="M297" t="s">
        <v>14</v>
      </c>
    </row>
    <row r="298" spans="2:13" x14ac:dyDescent="0.35">
      <c r="B298">
        <v>294</v>
      </c>
      <c r="C298">
        <v>2693</v>
      </c>
      <c r="D298" s="1">
        <v>41037</v>
      </c>
      <c r="E298" s="1">
        <v>42783</v>
      </c>
      <c r="F298" t="s">
        <v>30</v>
      </c>
      <c r="G298" t="s">
        <v>5</v>
      </c>
      <c r="H298">
        <v>600</v>
      </c>
      <c r="I298">
        <v>200</v>
      </c>
      <c r="J298">
        <v>50</v>
      </c>
      <c r="K298">
        <f>Claim[[#This Row],[Monto de prima]]-SUM(Claim[[#This Row],[Costo el reclamo]:[Costo de delivery]])</f>
        <v>350</v>
      </c>
      <c r="L298" t="s">
        <v>9</v>
      </c>
      <c r="M298" t="s">
        <v>15</v>
      </c>
    </row>
    <row r="299" spans="2:13" x14ac:dyDescent="0.35">
      <c r="B299">
        <v>295</v>
      </c>
      <c r="C299">
        <v>3672</v>
      </c>
      <c r="D299" s="1">
        <v>43100</v>
      </c>
      <c r="E299" s="1">
        <v>43772</v>
      </c>
      <c r="F299" t="s">
        <v>30</v>
      </c>
      <c r="G299" t="s">
        <v>3</v>
      </c>
      <c r="H299">
        <v>600</v>
      </c>
      <c r="I299">
        <v>200</v>
      </c>
      <c r="J299">
        <v>20</v>
      </c>
      <c r="K299">
        <f>Claim[[#This Row],[Monto de prima]]-SUM(Claim[[#This Row],[Costo el reclamo]:[Costo de delivery]])</f>
        <v>380</v>
      </c>
      <c r="L299" t="s">
        <v>9</v>
      </c>
      <c r="M299" t="s">
        <v>15</v>
      </c>
    </row>
    <row r="300" spans="2:13" x14ac:dyDescent="0.35">
      <c r="B300">
        <v>296</v>
      </c>
      <c r="C300">
        <v>2024</v>
      </c>
      <c r="D300" s="1">
        <v>41366</v>
      </c>
      <c r="E300" s="1">
        <v>41366</v>
      </c>
      <c r="F300" t="s">
        <v>30</v>
      </c>
      <c r="G300" t="s">
        <v>3</v>
      </c>
      <c r="H300">
        <v>600</v>
      </c>
      <c r="I300">
        <v>200</v>
      </c>
      <c r="J300">
        <v>20</v>
      </c>
      <c r="K300">
        <f>Claim[[#This Row],[Monto de prima]]-SUM(Claim[[#This Row],[Costo el reclamo]:[Costo de delivery]])</f>
        <v>380</v>
      </c>
      <c r="L300" t="s">
        <v>9</v>
      </c>
      <c r="M300" t="s">
        <v>15</v>
      </c>
    </row>
    <row r="301" spans="2:13" x14ac:dyDescent="0.35">
      <c r="B301">
        <v>297</v>
      </c>
      <c r="C301">
        <v>4167</v>
      </c>
      <c r="D301" s="1">
        <v>40427</v>
      </c>
      <c r="E301" s="1">
        <v>42695</v>
      </c>
      <c r="F301" t="s">
        <v>1</v>
      </c>
      <c r="G301" t="s">
        <v>6</v>
      </c>
      <c r="H301">
        <v>250</v>
      </c>
      <c r="I301">
        <v>450</v>
      </c>
      <c r="J301">
        <v>50</v>
      </c>
      <c r="K301">
        <f>Claim[[#This Row],[Monto de prima]]-SUM(Claim[[#This Row],[Costo el reclamo]:[Costo de delivery]])</f>
        <v>-250</v>
      </c>
      <c r="L301" t="s">
        <v>12</v>
      </c>
      <c r="M301" t="s">
        <v>19</v>
      </c>
    </row>
    <row r="302" spans="2:13" x14ac:dyDescent="0.35">
      <c r="B302">
        <v>298</v>
      </c>
      <c r="C302">
        <v>3998</v>
      </c>
      <c r="D302" s="1">
        <v>43093</v>
      </c>
      <c r="E302" s="1">
        <v>43608</v>
      </c>
      <c r="F302" t="s">
        <v>1</v>
      </c>
      <c r="G302" t="s">
        <v>5</v>
      </c>
      <c r="H302">
        <v>250</v>
      </c>
      <c r="I302">
        <v>450</v>
      </c>
      <c r="J302">
        <v>100</v>
      </c>
      <c r="K302">
        <f>Claim[[#This Row],[Monto de prima]]-SUM(Claim[[#This Row],[Costo el reclamo]:[Costo de delivery]])</f>
        <v>-300</v>
      </c>
      <c r="L302" t="s">
        <v>11</v>
      </c>
      <c r="M302" t="s">
        <v>18</v>
      </c>
    </row>
    <row r="303" spans="2:13" x14ac:dyDescent="0.35">
      <c r="B303">
        <v>299</v>
      </c>
      <c r="C303">
        <v>2652</v>
      </c>
      <c r="D303" s="1">
        <v>41791</v>
      </c>
      <c r="E303" s="1">
        <v>41791</v>
      </c>
      <c r="F303" t="s">
        <v>1</v>
      </c>
      <c r="G303" t="s">
        <v>5</v>
      </c>
      <c r="H303">
        <v>250</v>
      </c>
      <c r="I303">
        <v>450</v>
      </c>
      <c r="J303">
        <v>100</v>
      </c>
      <c r="K303">
        <f>Claim[[#This Row],[Monto de prima]]-SUM(Claim[[#This Row],[Costo el reclamo]:[Costo de delivery]])</f>
        <v>-300</v>
      </c>
      <c r="L303" t="s">
        <v>13</v>
      </c>
      <c r="M303" t="s">
        <v>14</v>
      </c>
    </row>
    <row r="304" spans="2:13" x14ac:dyDescent="0.35">
      <c r="B304">
        <v>300</v>
      </c>
      <c r="C304">
        <v>4578</v>
      </c>
      <c r="D304" s="1">
        <v>41512</v>
      </c>
      <c r="E304" s="1">
        <v>41582</v>
      </c>
      <c r="F304" t="s">
        <v>30</v>
      </c>
      <c r="G304" t="s">
        <v>5</v>
      </c>
      <c r="H304">
        <v>600</v>
      </c>
      <c r="I304">
        <v>200</v>
      </c>
      <c r="J304">
        <v>50</v>
      </c>
      <c r="K304">
        <f>Claim[[#This Row],[Monto de prima]]-SUM(Claim[[#This Row],[Costo el reclamo]:[Costo de delivery]])</f>
        <v>350</v>
      </c>
      <c r="L304" t="s">
        <v>12</v>
      </c>
      <c r="M304" t="s">
        <v>19</v>
      </c>
    </row>
    <row r="305" spans="2:13" x14ac:dyDescent="0.35">
      <c r="B305">
        <v>301</v>
      </c>
      <c r="C305">
        <v>4072</v>
      </c>
      <c r="D305" s="1">
        <v>42864</v>
      </c>
      <c r="E305" s="1">
        <v>42864</v>
      </c>
      <c r="F305" t="s">
        <v>31</v>
      </c>
      <c r="G305" t="s">
        <v>3</v>
      </c>
      <c r="H305">
        <v>2000</v>
      </c>
      <c r="I305">
        <v>800</v>
      </c>
      <c r="J305">
        <v>30</v>
      </c>
      <c r="K305">
        <f>Claim[[#This Row],[Monto de prima]]-SUM(Claim[[#This Row],[Costo el reclamo]:[Costo de delivery]])</f>
        <v>1170</v>
      </c>
      <c r="L305" t="s">
        <v>7</v>
      </c>
      <c r="M305" t="s">
        <v>16</v>
      </c>
    </row>
    <row r="306" spans="2:13" x14ac:dyDescent="0.35">
      <c r="B306">
        <v>302</v>
      </c>
      <c r="C306">
        <v>4159</v>
      </c>
      <c r="D306" s="1">
        <v>41155</v>
      </c>
      <c r="E306" s="1">
        <v>43133</v>
      </c>
      <c r="F306" t="s">
        <v>4</v>
      </c>
      <c r="G306" t="s">
        <v>3</v>
      </c>
      <c r="H306">
        <v>1000</v>
      </c>
      <c r="I306">
        <v>550</v>
      </c>
      <c r="J306">
        <v>80</v>
      </c>
      <c r="K306">
        <f>Claim[[#This Row],[Monto de prima]]-SUM(Claim[[#This Row],[Costo el reclamo]:[Costo de delivery]])</f>
        <v>370</v>
      </c>
      <c r="L306" t="s">
        <v>12</v>
      </c>
      <c r="M306" t="s">
        <v>19</v>
      </c>
    </row>
    <row r="307" spans="2:13" x14ac:dyDescent="0.35">
      <c r="B307">
        <v>303</v>
      </c>
      <c r="C307">
        <v>3305</v>
      </c>
      <c r="D307" s="1">
        <v>40845</v>
      </c>
      <c r="E307" s="1">
        <v>41183</v>
      </c>
      <c r="F307" t="s">
        <v>1</v>
      </c>
      <c r="G307" t="s">
        <v>2</v>
      </c>
      <c r="H307">
        <v>250</v>
      </c>
      <c r="I307">
        <v>450</v>
      </c>
      <c r="J307">
        <v>30</v>
      </c>
      <c r="K307">
        <f>Claim[[#This Row],[Monto de prima]]-SUM(Claim[[#This Row],[Costo el reclamo]:[Costo de delivery]])</f>
        <v>-230</v>
      </c>
      <c r="L307" t="s">
        <v>9</v>
      </c>
      <c r="M307" t="s">
        <v>15</v>
      </c>
    </row>
    <row r="308" spans="2:13" x14ac:dyDescent="0.35">
      <c r="B308">
        <v>304</v>
      </c>
      <c r="C308">
        <v>2541</v>
      </c>
      <c r="D308" s="1">
        <v>43054</v>
      </c>
      <c r="E308" s="1">
        <v>43054</v>
      </c>
      <c r="F308" t="s">
        <v>4</v>
      </c>
      <c r="G308" t="s">
        <v>5</v>
      </c>
      <c r="H308">
        <v>1000</v>
      </c>
      <c r="I308">
        <v>550</v>
      </c>
      <c r="J308">
        <v>50</v>
      </c>
      <c r="K308">
        <f>Claim[[#This Row],[Monto de prima]]-SUM(Claim[[#This Row],[Costo el reclamo]:[Costo de delivery]])</f>
        <v>400</v>
      </c>
      <c r="L308" t="s">
        <v>7</v>
      </c>
      <c r="M308" t="s">
        <v>16</v>
      </c>
    </row>
    <row r="309" spans="2:13" x14ac:dyDescent="0.35">
      <c r="B309">
        <v>305</v>
      </c>
      <c r="C309">
        <v>2650</v>
      </c>
      <c r="D309" s="1">
        <v>41183</v>
      </c>
      <c r="E309" s="1">
        <v>42895</v>
      </c>
      <c r="F309" t="s">
        <v>30</v>
      </c>
      <c r="G309" t="s">
        <v>6</v>
      </c>
      <c r="H309">
        <v>600</v>
      </c>
      <c r="I309">
        <v>200</v>
      </c>
      <c r="J309">
        <v>15</v>
      </c>
      <c r="K309">
        <f>Claim[[#This Row],[Monto de prima]]-SUM(Claim[[#This Row],[Costo el reclamo]:[Costo de delivery]])</f>
        <v>385</v>
      </c>
      <c r="L309" t="s">
        <v>10</v>
      </c>
      <c r="M309" t="s">
        <v>16</v>
      </c>
    </row>
    <row r="310" spans="2:13" x14ac:dyDescent="0.35">
      <c r="B310">
        <v>306</v>
      </c>
      <c r="C310">
        <v>4340</v>
      </c>
      <c r="D310" s="1">
        <v>41432</v>
      </c>
      <c r="E310" s="1">
        <v>42736</v>
      </c>
      <c r="F310" t="s">
        <v>31</v>
      </c>
      <c r="G310" t="s">
        <v>5</v>
      </c>
      <c r="H310">
        <v>2000</v>
      </c>
      <c r="I310">
        <v>800</v>
      </c>
      <c r="J310">
        <v>25</v>
      </c>
      <c r="K310">
        <f>Claim[[#This Row],[Monto de prima]]-SUM(Claim[[#This Row],[Costo el reclamo]:[Costo de delivery]])</f>
        <v>1175</v>
      </c>
      <c r="L310" t="s">
        <v>9</v>
      </c>
      <c r="M310" t="s">
        <v>15</v>
      </c>
    </row>
    <row r="311" spans="2:13" x14ac:dyDescent="0.35">
      <c r="B311">
        <v>307</v>
      </c>
      <c r="C311">
        <v>4644</v>
      </c>
      <c r="D311" s="1">
        <v>42675</v>
      </c>
      <c r="E311" s="1">
        <v>42675</v>
      </c>
      <c r="F311" t="s">
        <v>4</v>
      </c>
      <c r="G311" t="s">
        <v>2</v>
      </c>
      <c r="H311">
        <v>1000</v>
      </c>
      <c r="I311">
        <v>550</v>
      </c>
      <c r="J311">
        <v>50</v>
      </c>
      <c r="K311">
        <f>Claim[[#This Row],[Monto de prima]]-SUM(Claim[[#This Row],[Costo el reclamo]:[Costo de delivery]])</f>
        <v>400</v>
      </c>
      <c r="L311" t="s">
        <v>12</v>
      </c>
      <c r="M311" t="s">
        <v>19</v>
      </c>
    </row>
    <row r="312" spans="2:13" x14ac:dyDescent="0.35">
      <c r="B312">
        <v>308</v>
      </c>
      <c r="C312">
        <v>2239</v>
      </c>
      <c r="D312" s="1">
        <v>41611</v>
      </c>
      <c r="E312" s="1">
        <v>41611</v>
      </c>
      <c r="F312" t="s">
        <v>30</v>
      </c>
      <c r="G312" t="s">
        <v>6</v>
      </c>
      <c r="H312">
        <v>600</v>
      </c>
      <c r="I312">
        <v>200</v>
      </c>
      <c r="J312">
        <v>15</v>
      </c>
      <c r="K312">
        <f>Claim[[#This Row],[Monto de prima]]-SUM(Claim[[#This Row],[Costo el reclamo]:[Costo de delivery]])</f>
        <v>385</v>
      </c>
      <c r="L312" t="s">
        <v>10</v>
      </c>
      <c r="M312" t="s">
        <v>16</v>
      </c>
    </row>
    <row r="313" spans="2:13" x14ac:dyDescent="0.35">
      <c r="B313">
        <v>309</v>
      </c>
      <c r="C313">
        <v>2487</v>
      </c>
      <c r="D313" s="1">
        <v>40886</v>
      </c>
      <c r="E313" s="1">
        <v>41727</v>
      </c>
      <c r="F313" t="s">
        <v>31</v>
      </c>
      <c r="G313" t="s">
        <v>3</v>
      </c>
      <c r="H313">
        <v>2000</v>
      </c>
      <c r="I313">
        <v>800</v>
      </c>
      <c r="J313">
        <v>30</v>
      </c>
      <c r="K313">
        <f>Claim[[#This Row],[Monto de prima]]-SUM(Claim[[#This Row],[Costo el reclamo]:[Costo de delivery]])</f>
        <v>1170</v>
      </c>
      <c r="L313" t="s">
        <v>10</v>
      </c>
      <c r="M313" t="s">
        <v>16</v>
      </c>
    </row>
    <row r="314" spans="2:13" x14ac:dyDescent="0.35">
      <c r="B314">
        <v>310</v>
      </c>
      <c r="C314">
        <v>4715</v>
      </c>
      <c r="D314" s="1">
        <v>41935</v>
      </c>
      <c r="E314" s="1">
        <v>42814</v>
      </c>
      <c r="F314" t="s">
        <v>4</v>
      </c>
      <c r="G314" t="s">
        <v>2</v>
      </c>
      <c r="H314">
        <v>1000</v>
      </c>
      <c r="I314">
        <v>550</v>
      </c>
      <c r="J314">
        <v>50</v>
      </c>
      <c r="K314">
        <f>Claim[[#This Row],[Monto de prima]]-SUM(Claim[[#This Row],[Costo el reclamo]:[Costo de delivery]])</f>
        <v>400</v>
      </c>
      <c r="L314" t="s">
        <v>9</v>
      </c>
      <c r="M314" t="s">
        <v>15</v>
      </c>
    </row>
    <row r="315" spans="2:13" x14ac:dyDescent="0.35">
      <c r="B315">
        <v>311</v>
      </c>
      <c r="C315">
        <v>1811</v>
      </c>
      <c r="D315" s="1">
        <v>40587</v>
      </c>
      <c r="E315" s="1">
        <v>42536</v>
      </c>
      <c r="F315" t="s">
        <v>1</v>
      </c>
      <c r="G315" t="s">
        <v>2</v>
      </c>
      <c r="H315">
        <v>250</v>
      </c>
      <c r="I315">
        <v>450</v>
      </c>
      <c r="J315">
        <v>30</v>
      </c>
      <c r="K315">
        <f>Claim[[#This Row],[Monto de prima]]-SUM(Claim[[#This Row],[Costo el reclamo]:[Costo de delivery]])</f>
        <v>-230</v>
      </c>
      <c r="L315" t="s">
        <v>13</v>
      </c>
      <c r="M315" t="s">
        <v>14</v>
      </c>
    </row>
    <row r="316" spans="2:13" x14ac:dyDescent="0.35">
      <c r="B316">
        <v>312</v>
      </c>
      <c r="C316">
        <v>2668</v>
      </c>
      <c r="D316" s="1">
        <v>41976</v>
      </c>
      <c r="E316" s="1">
        <v>43364</v>
      </c>
      <c r="F316" t="s">
        <v>31</v>
      </c>
      <c r="G316" t="s">
        <v>5</v>
      </c>
      <c r="H316">
        <v>2000</v>
      </c>
      <c r="I316">
        <v>800</v>
      </c>
      <c r="J316">
        <v>25</v>
      </c>
      <c r="K316">
        <f>Claim[[#This Row],[Monto de prima]]-SUM(Claim[[#This Row],[Costo el reclamo]:[Costo de delivery]])</f>
        <v>1175</v>
      </c>
      <c r="L316" t="s">
        <v>8</v>
      </c>
      <c r="M316" t="s">
        <v>17</v>
      </c>
    </row>
    <row r="317" spans="2:13" x14ac:dyDescent="0.35">
      <c r="B317">
        <v>313</v>
      </c>
      <c r="C317">
        <v>2588</v>
      </c>
      <c r="D317" s="1">
        <v>40201</v>
      </c>
      <c r="E317" s="1">
        <v>42858</v>
      </c>
      <c r="F317" t="s">
        <v>30</v>
      </c>
      <c r="G317" t="s">
        <v>6</v>
      </c>
      <c r="H317">
        <v>600</v>
      </c>
      <c r="I317">
        <v>200</v>
      </c>
      <c r="J317">
        <v>15</v>
      </c>
      <c r="K317">
        <f>Claim[[#This Row],[Monto de prima]]-SUM(Claim[[#This Row],[Costo el reclamo]:[Costo de delivery]])</f>
        <v>385</v>
      </c>
      <c r="L317" t="s">
        <v>9</v>
      </c>
      <c r="M317" t="s">
        <v>15</v>
      </c>
    </row>
    <row r="318" spans="2:13" x14ac:dyDescent="0.35">
      <c r="B318">
        <v>314</v>
      </c>
      <c r="C318">
        <v>3665</v>
      </c>
      <c r="D318" s="1">
        <v>41719</v>
      </c>
      <c r="E318" s="1">
        <v>43770</v>
      </c>
      <c r="F318" t="s">
        <v>30</v>
      </c>
      <c r="G318" t="s">
        <v>5</v>
      </c>
      <c r="H318">
        <v>600</v>
      </c>
      <c r="I318">
        <v>200</v>
      </c>
      <c r="J318">
        <v>50</v>
      </c>
      <c r="K318">
        <f>Claim[[#This Row],[Monto de prima]]-SUM(Claim[[#This Row],[Costo el reclamo]:[Costo de delivery]])</f>
        <v>350</v>
      </c>
      <c r="L318" t="s">
        <v>12</v>
      </c>
      <c r="M318" t="s">
        <v>19</v>
      </c>
    </row>
    <row r="319" spans="2:13" x14ac:dyDescent="0.35">
      <c r="B319">
        <v>315</v>
      </c>
      <c r="C319">
        <v>3445</v>
      </c>
      <c r="D319" s="1">
        <v>41391</v>
      </c>
      <c r="E319" s="1">
        <v>42387</v>
      </c>
      <c r="F319" t="s">
        <v>1</v>
      </c>
      <c r="G319" t="s">
        <v>2</v>
      </c>
      <c r="H319">
        <v>250</v>
      </c>
      <c r="I319">
        <v>450</v>
      </c>
      <c r="J319">
        <v>30</v>
      </c>
      <c r="K319">
        <f>Claim[[#This Row],[Monto de prima]]-SUM(Claim[[#This Row],[Costo el reclamo]:[Costo de delivery]])</f>
        <v>-230</v>
      </c>
      <c r="L319" t="s">
        <v>13</v>
      </c>
      <c r="M319" t="s">
        <v>14</v>
      </c>
    </row>
    <row r="320" spans="2:13" x14ac:dyDescent="0.35">
      <c r="B320">
        <v>316</v>
      </c>
      <c r="C320">
        <v>4254</v>
      </c>
      <c r="D320" s="1">
        <v>41769</v>
      </c>
      <c r="E320" s="1">
        <v>41769</v>
      </c>
      <c r="F320" t="s">
        <v>1</v>
      </c>
      <c r="G320" t="s">
        <v>2</v>
      </c>
      <c r="H320">
        <v>250</v>
      </c>
      <c r="I320">
        <v>450</v>
      </c>
      <c r="J320">
        <v>30</v>
      </c>
      <c r="K320">
        <f>Claim[[#This Row],[Monto de prima]]-SUM(Claim[[#This Row],[Costo el reclamo]:[Costo de delivery]])</f>
        <v>-230</v>
      </c>
      <c r="L320" t="s">
        <v>13</v>
      </c>
      <c r="M320" t="s">
        <v>14</v>
      </c>
    </row>
    <row r="321" spans="2:13" x14ac:dyDescent="0.35">
      <c r="B321">
        <v>317</v>
      </c>
      <c r="C321">
        <v>4756</v>
      </c>
      <c r="D321" s="1">
        <v>40318</v>
      </c>
      <c r="E321" s="1">
        <v>41298</v>
      </c>
      <c r="F321" t="s">
        <v>1</v>
      </c>
      <c r="G321" t="s">
        <v>3</v>
      </c>
      <c r="H321">
        <v>250</v>
      </c>
      <c r="I321">
        <v>450</v>
      </c>
      <c r="J321">
        <v>80</v>
      </c>
      <c r="K321">
        <f>Claim[[#This Row],[Monto de prima]]-SUM(Claim[[#This Row],[Costo el reclamo]:[Costo de delivery]])</f>
        <v>-280</v>
      </c>
      <c r="L321" t="s">
        <v>12</v>
      </c>
      <c r="M321" t="s">
        <v>19</v>
      </c>
    </row>
    <row r="322" spans="2:13" x14ac:dyDescent="0.35">
      <c r="B322">
        <v>318</v>
      </c>
      <c r="C322">
        <v>2187</v>
      </c>
      <c r="D322" s="1">
        <v>42162</v>
      </c>
      <c r="E322" s="1">
        <v>42355</v>
      </c>
      <c r="F322" t="s">
        <v>30</v>
      </c>
      <c r="G322" t="s">
        <v>3</v>
      </c>
      <c r="H322">
        <v>600</v>
      </c>
      <c r="I322">
        <v>200</v>
      </c>
      <c r="J322">
        <v>20</v>
      </c>
      <c r="K322">
        <f>Claim[[#This Row],[Monto de prima]]-SUM(Claim[[#This Row],[Costo el reclamo]:[Costo de delivery]])</f>
        <v>380</v>
      </c>
      <c r="L322" t="s">
        <v>10</v>
      </c>
      <c r="M322" t="s">
        <v>16</v>
      </c>
    </row>
    <row r="323" spans="2:13" x14ac:dyDescent="0.35">
      <c r="B323">
        <v>319</v>
      </c>
      <c r="C323">
        <v>4000</v>
      </c>
      <c r="D323" s="1">
        <v>41386</v>
      </c>
      <c r="E323" s="1">
        <v>42786</v>
      </c>
      <c r="F323" t="s">
        <v>1</v>
      </c>
      <c r="G323" t="s">
        <v>3</v>
      </c>
      <c r="H323">
        <v>250</v>
      </c>
      <c r="I323">
        <v>450</v>
      </c>
      <c r="J323">
        <v>80</v>
      </c>
      <c r="K323">
        <f>Claim[[#This Row],[Monto de prima]]-SUM(Claim[[#This Row],[Costo el reclamo]:[Costo de delivery]])</f>
        <v>-280</v>
      </c>
      <c r="L323" t="s">
        <v>13</v>
      </c>
      <c r="M323" t="s">
        <v>14</v>
      </c>
    </row>
    <row r="324" spans="2:13" x14ac:dyDescent="0.35">
      <c r="B324">
        <v>320</v>
      </c>
      <c r="C324">
        <v>1629</v>
      </c>
      <c r="D324" s="1">
        <v>41866</v>
      </c>
      <c r="E324" s="1">
        <v>42520</v>
      </c>
      <c r="F324" t="s">
        <v>30</v>
      </c>
      <c r="G324" t="s">
        <v>5</v>
      </c>
      <c r="H324">
        <v>600</v>
      </c>
      <c r="I324">
        <v>200</v>
      </c>
      <c r="J324">
        <v>50</v>
      </c>
      <c r="K324">
        <f>Claim[[#This Row],[Monto de prima]]-SUM(Claim[[#This Row],[Costo el reclamo]:[Costo de delivery]])</f>
        <v>350</v>
      </c>
      <c r="L324" t="s">
        <v>11</v>
      </c>
      <c r="M324" t="s">
        <v>18</v>
      </c>
    </row>
    <row r="325" spans="2:13" x14ac:dyDescent="0.35">
      <c r="B325">
        <v>321</v>
      </c>
      <c r="C325">
        <v>2260</v>
      </c>
      <c r="D325" s="1">
        <v>41199</v>
      </c>
      <c r="E325" s="1">
        <v>41741</v>
      </c>
      <c r="F325" t="s">
        <v>30</v>
      </c>
      <c r="G325" t="s">
        <v>3</v>
      </c>
      <c r="H325">
        <v>600</v>
      </c>
      <c r="I325">
        <v>200</v>
      </c>
      <c r="J325">
        <v>20</v>
      </c>
      <c r="K325">
        <f>Claim[[#This Row],[Monto de prima]]-SUM(Claim[[#This Row],[Costo el reclamo]:[Costo de delivery]])</f>
        <v>380</v>
      </c>
      <c r="L325" t="s">
        <v>11</v>
      </c>
      <c r="M325" t="s">
        <v>18</v>
      </c>
    </row>
    <row r="326" spans="2:13" x14ac:dyDescent="0.35">
      <c r="B326">
        <v>322</v>
      </c>
      <c r="C326">
        <v>1419</v>
      </c>
      <c r="D326" s="1">
        <v>40467</v>
      </c>
      <c r="E326" s="1">
        <v>43752</v>
      </c>
      <c r="F326" t="s">
        <v>30</v>
      </c>
      <c r="G326" t="s">
        <v>3</v>
      </c>
      <c r="H326">
        <v>600</v>
      </c>
      <c r="I326">
        <v>200</v>
      </c>
      <c r="J326">
        <v>20</v>
      </c>
      <c r="K326">
        <f>Claim[[#This Row],[Monto de prima]]-SUM(Claim[[#This Row],[Costo el reclamo]:[Costo de delivery]])</f>
        <v>380</v>
      </c>
      <c r="L326" t="s">
        <v>12</v>
      </c>
      <c r="M326" t="s">
        <v>19</v>
      </c>
    </row>
    <row r="327" spans="2:13" x14ac:dyDescent="0.35">
      <c r="B327">
        <v>323</v>
      </c>
      <c r="C327">
        <v>4085</v>
      </c>
      <c r="D327" s="1">
        <v>40979</v>
      </c>
      <c r="E327" s="1">
        <v>43847</v>
      </c>
      <c r="F327" t="s">
        <v>31</v>
      </c>
      <c r="G327" t="s">
        <v>6</v>
      </c>
      <c r="H327">
        <v>2000</v>
      </c>
      <c r="I327">
        <v>800</v>
      </c>
      <c r="J327">
        <v>20</v>
      </c>
      <c r="K327">
        <f>Claim[[#This Row],[Monto de prima]]-SUM(Claim[[#This Row],[Costo el reclamo]:[Costo de delivery]])</f>
        <v>1180</v>
      </c>
      <c r="L327" t="s">
        <v>13</v>
      </c>
      <c r="M327" t="s">
        <v>14</v>
      </c>
    </row>
    <row r="328" spans="2:13" x14ac:dyDescent="0.35">
      <c r="B328">
        <v>324</v>
      </c>
      <c r="C328">
        <v>1436</v>
      </c>
      <c r="D328" s="1">
        <v>41053</v>
      </c>
      <c r="E328" s="1">
        <v>42645</v>
      </c>
      <c r="F328" t="s">
        <v>4</v>
      </c>
      <c r="G328" t="s">
        <v>5</v>
      </c>
      <c r="H328">
        <v>1000</v>
      </c>
      <c r="I328">
        <v>550</v>
      </c>
      <c r="J328">
        <v>50</v>
      </c>
      <c r="K328">
        <f>Claim[[#This Row],[Monto de prima]]-SUM(Claim[[#This Row],[Costo el reclamo]:[Costo de delivery]])</f>
        <v>400</v>
      </c>
      <c r="L328" t="s">
        <v>11</v>
      </c>
      <c r="M328" t="s">
        <v>18</v>
      </c>
    </row>
    <row r="329" spans="2:13" x14ac:dyDescent="0.35">
      <c r="B329">
        <v>325</v>
      </c>
      <c r="C329">
        <v>1744</v>
      </c>
      <c r="D329" s="1">
        <v>42614</v>
      </c>
      <c r="E329" s="1">
        <v>43114</v>
      </c>
      <c r="F329" t="s">
        <v>31</v>
      </c>
      <c r="G329" t="s">
        <v>5</v>
      </c>
      <c r="H329">
        <v>2000</v>
      </c>
      <c r="I329">
        <v>800</v>
      </c>
      <c r="J329">
        <v>25</v>
      </c>
      <c r="K329">
        <f>Claim[[#This Row],[Monto de prima]]-SUM(Claim[[#This Row],[Costo el reclamo]:[Costo de delivery]])</f>
        <v>1175</v>
      </c>
      <c r="L329" t="s">
        <v>11</v>
      </c>
      <c r="M329" t="s">
        <v>18</v>
      </c>
    </row>
    <row r="330" spans="2:13" x14ac:dyDescent="0.35">
      <c r="B330">
        <v>326</v>
      </c>
      <c r="C330">
        <v>2536</v>
      </c>
      <c r="D330" s="1">
        <v>42349</v>
      </c>
      <c r="E330" s="1">
        <v>42349</v>
      </c>
      <c r="F330" t="s">
        <v>1</v>
      </c>
      <c r="G330" t="s">
        <v>5</v>
      </c>
      <c r="H330">
        <v>250</v>
      </c>
      <c r="I330">
        <v>450</v>
      </c>
      <c r="J330">
        <v>100</v>
      </c>
      <c r="K330">
        <f>Claim[[#This Row],[Monto de prima]]-SUM(Claim[[#This Row],[Costo el reclamo]:[Costo de delivery]])</f>
        <v>-300</v>
      </c>
      <c r="L330" t="s">
        <v>9</v>
      </c>
      <c r="M330" t="s">
        <v>15</v>
      </c>
    </row>
    <row r="331" spans="2:13" x14ac:dyDescent="0.35">
      <c r="B331">
        <v>327</v>
      </c>
      <c r="C331">
        <v>2282</v>
      </c>
      <c r="D331" s="1">
        <v>42753</v>
      </c>
      <c r="E331" s="1">
        <v>43146</v>
      </c>
      <c r="F331" t="s">
        <v>31</v>
      </c>
      <c r="G331" t="s">
        <v>6</v>
      </c>
      <c r="H331">
        <v>2000</v>
      </c>
      <c r="I331">
        <v>800</v>
      </c>
      <c r="J331">
        <v>20</v>
      </c>
      <c r="K331">
        <f>Claim[[#This Row],[Monto de prima]]-SUM(Claim[[#This Row],[Costo el reclamo]:[Costo de delivery]])</f>
        <v>1180</v>
      </c>
      <c r="L331" t="s">
        <v>13</v>
      </c>
      <c r="M331" t="s">
        <v>14</v>
      </c>
    </row>
    <row r="332" spans="2:13" x14ac:dyDescent="0.35">
      <c r="B332">
        <v>328</v>
      </c>
      <c r="C332">
        <v>4586</v>
      </c>
      <c r="D332" s="1">
        <v>42935</v>
      </c>
      <c r="E332" s="1">
        <v>42935</v>
      </c>
      <c r="F332" t="s">
        <v>4</v>
      </c>
      <c r="G332" t="s">
        <v>3</v>
      </c>
      <c r="H332">
        <v>1000</v>
      </c>
      <c r="I332">
        <v>550</v>
      </c>
      <c r="J332">
        <v>80</v>
      </c>
      <c r="K332">
        <f>Claim[[#This Row],[Monto de prima]]-SUM(Claim[[#This Row],[Costo el reclamo]:[Costo de delivery]])</f>
        <v>370</v>
      </c>
      <c r="L332" t="s">
        <v>9</v>
      </c>
      <c r="M332" t="s">
        <v>15</v>
      </c>
    </row>
    <row r="333" spans="2:13" x14ac:dyDescent="0.35">
      <c r="B333">
        <v>329</v>
      </c>
      <c r="C333">
        <v>3382</v>
      </c>
      <c r="D333" s="1">
        <v>40315</v>
      </c>
      <c r="E333" s="1">
        <v>41646</v>
      </c>
      <c r="F333" t="s">
        <v>4</v>
      </c>
      <c r="G333" t="s">
        <v>3</v>
      </c>
      <c r="H333">
        <v>1000</v>
      </c>
      <c r="I333">
        <v>550</v>
      </c>
      <c r="J333">
        <v>80</v>
      </c>
      <c r="K333">
        <f>Claim[[#This Row],[Monto de prima]]-SUM(Claim[[#This Row],[Costo el reclamo]:[Costo de delivery]])</f>
        <v>370</v>
      </c>
      <c r="L333" t="s">
        <v>7</v>
      </c>
      <c r="M333" t="s">
        <v>16</v>
      </c>
    </row>
    <row r="334" spans="2:13" x14ac:dyDescent="0.35">
      <c r="B334">
        <v>330</v>
      </c>
      <c r="C334">
        <v>1396</v>
      </c>
      <c r="D334" s="1">
        <v>40402</v>
      </c>
      <c r="E334" s="1">
        <v>42732</v>
      </c>
      <c r="F334" t="s">
        <v>1</v>
      </c>
      <c r="G334" t="s">
        <v>2</v>
      </c>
      <c r="H334">
        <v>250</v>
      </c>
      <c r="I334">
        <v>450</v>
      </c>
      <c r="J334">
        <v>30</v>
      </c>
      <c r="K334">
        <f>Claim[[#This Row],[Monto de prima]]-SUM(Claim[[#This Row],[Costo el reclamo]:[Costo de delivery]])</f>
        <v>-230</v>
      </c>
      <c r="L334" t="s">
        <v>9</v>
      </c>
      <c r="M334" t="s">
        <v>15</v>
      </c>
    </row>
    <row r="335" spans="2:13" x14ac:dyDescent="0.35">
      <c r="B335">
        <v>331</v>
      </c>
      <c r="C335">
        <v>4260</v>
      </c>
      <c r="D335" s="1">
        <v>41003</v>
      </c>
      <c r="E335" s="1">
        <v>42223</v>
      </c>
      <c r="F335" t="s">
        <v>1</v>
      </c>
      <c r="G335" t="s">
        <v>6</v>
      </c>
      <c r="H335">
        <v>250</v>
      </c>
      <c r="I335">
        <v>450</v>
      </c>
      <c r="J335">
        <v>50</v>
      </c>
      <c r="K335">
        <f>Claim[[#This Row],[Monto de prima]]-SUM(Claim[[#This Row],[Costo el reclamo]:[Costo de delivery]])</f>
        <v>-250</v>
      </c>
      <c r="L335" t="s">
        <v>7</v>
      </c>
      <c r="M335" t="s">
        <v>16</v>
      </c>
    </row>
    <row r="336" spans="2:13" x14ac:dyDescent="0.35">
      <c r="B336">
        <v>332</v>
      </c>
      <c r="C336">
        <v>2139</v>
      </c>
      <c r="D336" s="1">
        <v>41538</v>
      </c>
      <c r="E336" s="1">
        <v>42568</v>
      </c>
      <c r="F336" t="s">
        <v>1</v>
      </c>
      <c r="G336" t="s">
        <v>6</v>
      </c>
      <c r="H336">
        <v>250</v>
      </c>
      <c r="I336">
        <v>450</v>
      </c>
      <c r="J336">
        <v>50</v>
      </c>
      <c r="K336">
        <f>Claim[[#This Row],[Monto de prima]]-SUM(Claim[[#This Row],[Costo el reclamo]:[Costo de delivery]])</f>
        <v>-250</v>
      </c>
      <c r="L336" t="s">
        <v>12</v>
      </c>
      <c r="M336" t="s">
        <v>19</v>
      </c>
    </row>
    <row r="337" spans="2:13" x14ac:dyDescent="0.35">
      <c r="B337">
        <v>333</v>
      </c>
      <c r="C337">
        <v>2428</v>
      </c>
      <c r="D337" s="1">
        <v>42466</v>
      </c>
      <c r="E337" s="1">
        <v>42466</v>
      </c>
      <c r="F337" t="s">
        <v>30</v>
      </c>
      <c r="G337" t="s">
        <v>3</v>
      </c>
      <c r="H337">
        <v>600</v>
      </c>
      <c r="I337">
        <v>200</v>
      </c>
      <c r="J337">
        <v>20</v>
      </c>
      <c r="K337">
        <f>Claim[[#This Row],[Monto de prima]]-SUM(Claim[[#This Row],[Costo el reclamo]:[Costo de delivery]])</f>
        <v>380</v>
      </c>
      <c r="L337" t="s">
        <v>12</v>
      </c>
      <c r="M337" t="s">
        <v>19</v>
      </c>
    </row>
    <row r="338" spans="2:13" x14ac:dyDescent="0.35">
      <c r="B338">
        <v>334</v>
      </c>
      <c r="C338">
        <v>1224</v>
      </c>
      <c r="D338" s="1">
        <v>40263</v>
      </c>
      <c r="E338" s="1">
        <v>43827</v>
      </c>
      <c r="F338" t="s">
        <v>1</v>
      </c>
      <c r="G338" t="s">
        <v>5</v>
      </c>
      <c r="H338">
        <v>250</v>
      </c>
      <c r="I338">
        <v>450</v>
      </c>
      <c r="J338">
        <v>100</v>
      </c>
      <c r="K338">
        <f>Claim[[#This Row],[Monto de prima]]-SUM(Claim[[#This Row],[Costo el reclamo]:[Costo de delivery]])</f>
        <v>-300</v>
      </c>
      <c r="L338" t="s">
        <v>13</v>
      </c>
      <c r="M338" t="s">
        <v>14</v>
      </c>
    </row>
    <row r="339" spans="2:13" x14ac:dyDescent="0.35">
      <c r="B339">
        <v>335</v>
      </c>
      <c r="C339">
        <v>3957</v>
      </c>
      <c r="D339" s="1">
        <v>41133</v>
      </c>
      <c r="E339" s="1">
        <v>41740</v>
      </c>
      <c r="F339" t="s">
        <v>30</v>
      </c>
      <c r="G339" t="s">
        <v>6</v>
      </c>
      <c r="H339">
        <v>600</v>
      </c>
      <c r="I339">
        <v>200</v>
      </c>
      <c r="J339">
        <v>15</v>
      </c>
      <c r="K339">
        <f>Claim[[#This Row],[Monto de prima]]-SUM(Claim[[#This Row],[Costo el reclamo]:[Costo de delivery]])</f>
        <v>385</v>
      </c>
      <c r="L339" t="s">
        <v>9</v>
      </c>
      <c r="M339" t="s">
        <v>15</v>
      </c>
    </row>
    <row r="340" spans="2:13" x14ac:dyDescent="0.35">
      <c r="B340">
        <v>336</v>
      </c>
      <c r="C340">
        <v>1787</v>
      </c>
      <c r="D340" s="1">
        <v>40422</v>
      </c>
      <c r="E340" s="1">
        <v>41872</v>
      </c>
      <c r="F340" t="s">
        <v>30</v>
      </c>
      <c r="G340" t="s">
        <v>3</v>
      </c>
      <c r="H340">
        <v>600</v>
      </c>
      <c r="I340">
        <v>200</v>
      </c>
      <c r="J340">
        <v>20</v>
      </c>
      <c r="K340">
        <f>Claim[[#This Row],[Monto de prima]]-SUM(Claim[[#This Row],[Costo el reclamo]:[Costo de delivery]])</f>
        <v>380</v>
      </c>
      <c r="L340" t="s">
        <v>13</v>
      </c>
      <c r="M340" t="s">
        <v>14</v>
      </c>
    </row>
    <row r="341" spans="2:13" x14ac:dyDescent="0.35">
      <c r="B341">
        <v>337</v>
      </c>
      <c r="C341">
        <v>3254</v>
      </c>
      <c r="D341" s="1">
        <v>42843</v>
      </c>
      <c r="E341" s="1">
        <v>43042</v>
      </c>
      <c r="F341" t="s">
        <v>30</v>
      </c>
      <c r="G341" t="s">
        <v>2</v>
      </c>
      <c r="H341">
        <v>600</v>
      </c>
      <c r="I341">
        <v>200</v>
      </c>
      <c r="J341">
        <v>35</v>
      </c>
      <c r="K341">
        <f>Claim[[#This Row],[Monto de prima]]-SUM(Claim[[#This Row],[Costo el reclamo]:[Costo de delivery]])</f>
        <v>365</v>
      </c>
      <c r="L341" t="s">
        <v>12</v>
      </c>
      <c r="M341" t="s">
        <v>19</v>
      </c>
    </row>
    <row r="342" spans="2:13" x14ac:dyDescent="0.35">
      <c r="B342">
        <v>338</v>
      </c>
      <c r="C342">
        <v>1705</v>
      </c>
      <c r="D342" s="1">
        <v>42097</v>
      </c>
      <c r="E342" s="1">
        <v>42496</v>
      </c>
      <c r="F342" t="s">
        <v>31</v>
      </c>
      <c r="G342" t="s">
        <v>2</v>
      </c>
      <c r="H342">
        <v>2000</v>
      </c>
      <c r="I342">
        <v>800</v>
      </c>
      <c r="J342">
        <v>40</v>
      </c>
      <c r="K342">
        <f>Claim[[#This Row],[Monto de prima]]-SUM(Claim[[#This Row],[Costo el reclamo]:[Costo de delivery]])</f>
        <v>1160</v>
      </c>
      <c r="L342" t="s">
        <v>12</v>
      </c>
      <c r="M342" t="s">
        <v>19</v>
      </c>
    </row>
    <row r="343" spans="2:13" x14ac:dyDescent="0.35">
      <c r="B343">
        <v>339</v>
      </c>
      <c r="C343">
        <v>3138</v>
      </c>
      <c r="D343" s="1">
        <v>42189</v>
      </c>
      <c r="E343" s="1">
        <v>43341</v>
      </c>
      <c r="F343" t="s">
        <v>31</v>
      </c>
      <c r="G343" t="s">
        <v>5</v>
      </c>
      <c r="H343">
        <v>2000</v>
      </c>
      <c r="I343">
        <v>800</v>
      </c>
      <c r="J343">
        <v>25</v>
      </c>
      <c r="K343">
        <f>Claim[[#This Row],[Monto de prima]]-SUM(Claim[[#This Row],[Costo el reclamo]:[Costo de delivery]])</f>
        <v>1175</v>
      </c>
      <c r="L343" t="s">
        <v>13</v>
      </c>
      <c r="M343" t="s">
        <v>14</v>
      </c>
    </row>
    <row r="344" spans="2:13" x14ac:dyDescent="0.35">
      <c r="B344">
        <v>340</v>
      </c>
      <c r="C344">
        <v>1173</v>
      </c>
      <c r="D344" s="1">
        <v>40978</v>
      </c>
      <c r="E344" s="1">
        <v>41768</v>
      </c>
      <c r="F344" t="s">
        <v>1</v>
      </c>
      <c r="G344" t="s">
        <v>2</v>
      </c>
      <c r="H344">
        <v>250</v>
      </c>
      <c r="I344">
        <v>450</v>
      </c>
      <c r="J344">
        <v>30</v>
      </c>
      <c r="K344">
        <f>Claim[[#This Row],[Monto de prima]]-SUM(Claim[[#This Row],[Costo el reclamo]:[Costo de delivery]])</f>
        <v>-230</v>
      </c>
      <c r="L344" t="s">
        <v>13</v>
      </c>
      <c r="M344" t="s">
        <v>14</v>
      </c>
    </row>
    <row r="345" spans="2:13" x14ac:dyDescent="0.35">
      <c r="B345">
        <v>341</v>
      </c>
      <c r="C345">
        <v>4725</v>
      </c>
      <c r="D345" s="1">
        <v>40920</v>
      </c>
      <c r="E345" s="1">
        <v>42911</v>
      </c>
      <c r="F345" t="s">
        <v>1</v>
      </c>
      <c r="G345" t="s">
        <v>6</v>
      </c>
      <c r="H345">
        <v>250</v>
      </c>
      <c r="I345">
        <v>450</v>
      </c>
      <c r="J345">
        <v>50</v>
      </c>
      <c r="K345">
        <f>Claim[[#This Row],[Monto de prima]]-SUM(Claim[[#This Row],[Costo el reclamo]:[Costo de delivery]])</f>
        <v>-250</v>
      </c>
      <c r="L345" t="s">
        <v>11</v>
      </c>
      <c r="M345" t="s">
        <v>18</v>
      </c>
    </row>
    <row r="346" spans="2:13" x14ac:dyDescent="0.35">
      <c r="B346">
        <v>342</v>
      </c>
      <c r="C346">
        <v>3897</v>
      </c>
      <c r="D346" s="1">
        <v>42699</v>
      </c>
      <c r="E346" s="1">
        <v>43487</v>
      </c>
      <c r="F346" t="s">
        <v>4</v>
      </c>
      <c r="G346" t="s">
        <v>6</v>
      </c>
      <c r="H346">
        <v>1000</v>
      </c>
      <c r="I346">
        <v>550</v>
      </c>
      <c r="J346">
        <v>30</v>
      </c>
      <c r="K346">
        <f>Claim[[#This Row],[Monto de prima]]-SUM(Claim[[#This Row],[Costo el reclamo]:[Costo de delivery]])</f>
        <v>420</v>
      </c>
      <c r="L346" t="s">
        <v>7</v>
      </c>
      <c r="M346" t="s">
        <v>16</v>
      </c>
    </row>
    <row r="347" spans="2:13" x14ac:dyDescent="0.35">
      <c r="B347">
        <v>343</v>
      </c>
      <c r="C347">
        <v>2992</v>
      </c>
      <c r="D347" s="1">
        <v>41220</v>
      </c>
      <c r="E347" s="1">
        <v>43852</v>
      </c>
      <c r="F347" t="s">
        <v>31</v>
      </c>
      <c r="G347" t="s">
        <v>2</v>
      </c>
      <c r="H347">
        <v>2000</v>
      </c>
      <c r="I347">
        <v>800</v>
      </c>
      <c r="J347">
        <v>40</v>
      </c>
      <c r="K347">
        <f>Claim[[#This Row],[Monto de prima]]-SUM(Claim[[#This Row],[Costo el reclamo]:[Costo de delivery]])</f>
        <v>1160</v>
      </c>
      <c r="L347" t="s">
        <v>13</v>
      </c>
      <c r="M347" t="s">
        <v>14</v>
      </c>
    </row>
    <row r="348" spans="2:13" x14ac:dyDescent="0.35">
      <c r="B348">
        <v>344</v>
      </c>
      <c r="C348">
        <v>2132</v>
      </c>
      <c r="D348" s="1">
        <v>40708</v>
      </c>
      <c r="E348" s="1">
        <v>43836</v>
      </c>
      <c r="F348" t="s">
        <v>1</v>
      </c>
      <c r="G348" t="s">
        <v>5</v>
      </c>
      <c r="H348">
        <v>250</v>
      </c>
      <c r="I348">
        <v>450</v>
      </c>
      <c r="J348">
        <v>100</v>
      </c>
      <c r="K348">
        <f>Claim[[#This Row],[Monto de prima]]-SUM(Claim[[#This Row],[Costo el reclamo]:[Costo de delivery]])</f>
        <v>-300</v>
      </c>
      <c r="L348" t="s">
        <v>10</v>
      </c>
      <c r="M348" t="s">
        <v>16</v>
      </c>
    </row>
    <row r="349" spans="2:13" x14ac:dyDescent="0.35">
      <c r="B349">
        <v>345</v>
      </c>
      <c r="C349">
        <v>4671</v>
      </c>
      <c r="D349" s="1">
        <v>43084</v>
      </c>
      <c r="E349" s="1">
        <v>43856</v>
      </c>
      <c r="F349" t="s">
        <v>4</v>
      </c>
      <c r="G349" t="s">
        <v>3</v>
      </c>
      <c r="H349">
        <v>1000</v>
      </c>
      <c r="I349">
        <v>550</v>
      </c>
      <c r="J349">
        <v>80</v>
      </c>
      <c r="K349">
        <f>Claim[[#This Row],[Monto de prima]]-SUM(Claim[[#This Row],[Costo el reclamo]:[Costo de delivery]])</f>
        <v>370</v>
      </c>
      <c r="L349" t="s">
        <v>10</v>
      </c>
      <c r="M349" t="s">
        <v>16</v>
      </c>
    </row>
    <row r="350" spans="2:13" x14ac:dyDescent="0.35">
      <c r="B350">
        <v>346</v>
      </c>
      <c r="C350">
        <v>4414</v>
      </c>
      <c r="D350" s="1">
        <v>41317</v>
      </c>
      <c r="E350" s="1">
        <v>42851</v>
      </c>
      <c r="F350" t="s">
        <v>30</v>
      </c>
      <c r="G350" t="s">
        <v>2</v>
      </c>
      <c r="H350">
        <v>600</v>
      </c>
      <c r="I350">
        <v>200</v>
      </c>
      <c r="J350">
        <v>35</v>
      </c>
      <c r="K350">
        <f>Claim[[#This Row],[Monto de prima]]-SUM(Claim[[#This Row],[Costo el reclamo]:[Costo de delivery]])</f>
        <v>365</v>
      </c>
      <c r="L350" t="s">
        <v>10</v>
      </c>
      <c r="M350" t="s">
        <v>16</v>
      </c>
    </row>
    <row r="351" spans="2:13" x14ac:dyDescent="0.35">
      <c r="B351">
        <v>347</v>
      </c>
      <c r="C351">
        <v>3988</v>
      </c>
      <c r="D351" s="1">
        <v>41751</v>
      </c>
      <c r="E351" s="1">
        <v>43502</v>
      </c>
      <c r="F351" t="s">
        <v>30</v>
      </c>
      <c r="G351" t="s">
        <v>3</v>
      </c>
      <c r="H351">
        <v>600</v>
      </c>
      <c r="I351">
        <v>200</v>
      </c>
      <c r="J351">
        <v>20</v>
      </c>
      <c r="K351">
        <f>Claim[[#This Row],[Monto de prima]]-SUM(Claim[[#This Row],[Costo el reclamo]:[Costo de delivery]])</f>
        <v>380</v>
      </c>
      <c r="L351" t="s">
        <v>10</v>
      </c>
      <c r="M351" t="s">
        <v>16</v>
      </c>
    </row>
    <row r="352" spans="2:13" x14ac:dyDescent="0.35">
      <c r="B352">
        <v>348</v>
      </c>
      <c r="C352">
        <v>3604</v>
      </c>
      <c r="D352" s="1">
        <v>40577</v>
      </c>
      <c r="E352" s="1">
        <v>41438</v>
      </c>
      <c r="F352" t="s">
        <v>31</v>
      </c>
      <c r="G352" t="s">
        <v>2</v>
      </c>
      <c r="H352">
        <v>2000</v>
      </c>
      <c r="I352">
        <v>800</v>
      </c>
      <c r="J352">
        <v>40</v>
      </c>
      <c r="K352">
        <f>Claim[[#This Row],[Monto de prima]]-SUM(Claim[[#This Row],[Costo el reclamo]:[Costo de delivery]])</f>
        <v>1160</v>
      </c>
      <c r="L352" t="s">
        <v>7</v>
      </c>
      <c r="M352" t="s">
        <v>16</v>
      </c>
    </row>
    <row r="353" spans="2:13" x14ac:dyDescent="0.35">
      <c r="B353">
        <v>349</v>
      </c>
      <c r="C353">
        <v>1600</v>
      </c>
      <c r="D353" s="1">
        <v>42924</v>
      </c>
      <c r="E353" s="1">
        <v>42924</v>
      </c>
      <c r="F353" t="s">
        <v>1</v>
      </c>
      <c r="G353" t="s">
        <v>5</v>
      </c>
      <c r="H353">
        <v>250</v>
      </c>
      <c r="I353">
        <v>450</v>
      </c>
      <c r="J353">
        <v>100</v>
      </c>
      <c r="K353">
        <f>Claim[[#This Row],[Monto de prima]]-SUM(Claim[[#This Row],[Costo el reclamo]:[Costo de delivery]])</f>
        <v>-300</v>
      </c>
      <c r="L353" t="s">
        <v>13</v>
      </c>
      <c r="M353" t="s">
        <v>14</v>
      </c>
    </row>
    <row r="354" spans="2:13" x14ac:dyDescent="0.35">
      <c r="B354">
        <v>350</v>
      </c>
      <c r="C354">
        <v>2895</v>
      </c>
      <c r="D354" s="1">
        <v>42862</v>
      </c>
      <c r="E354" s="1">
        <v>42862</v>
      </c>
      <c r="F354" t="s">
        <v>31</v>
      </c>
      <c r="G354" t="s">
        <v>3</v>
      </c>
      <c r="H354">
        <v>2000</v>
      </c>
      <c r="I354">
        <v>800</v>
      </c>
      <c r="J354">
        <v>30</v>
      </c>
      <c r="K354">
        <f>Claim[[#This Row],[Monto de prima]]-SUM(Claim[[#This Row],[Costo el reclamo]:[Costo de delivery]])</f>
        <v>1170</v>
      </c>
      <c r="L354" t="s">
        <v>7</v>
      </c>
      <c r="M354" t="s">
        <v>16</v>
      </c>
    </row>
    <row r="355" spans="2:13" x14ac:dyDescent="0.35">
      <c r="B355">
        <v>351</v>
      </c>
      <c r="C355">
        <v>3682</v>
      </c>
      <c r="D355" s="1">
        <v>43048</v>
      </c>
      <c r="E355" s="1">
        <v>43048</v>
      </c>
      <c r="F355" t="s">
        <v>4</v>
      </c>
      <c r="G355" t="s">
        <v>3</v>
      </c>
      <c r="H355">
        <v>1000</v>
      </c>
      <c r="I355">
        <v>550</v>
      </c>
      <c r="J355">
        <v>80</v>
      </c>
      <c r="K355">
        <f>Claim[[#This Row],[Monto de prima]]-SUM(Claim[[#This Row],[Costo el reclamo]:[Costo de delivery]])</f>
        <v>370</v>
      </c>
      <c r="L355" t="s">
        <v>7</v>
      </c>
      <c r="M355" t="s">
        <v>16</v>
      </c>
    </row>
    <row r="356" spans="2:13" x14ac:dyDescent="0.35">
      <c r="B356">
        <v>352</v>
      </c>
      <c r="C356">
        <v>3820</v>
      </c>
      <c r="D356" s="1">
        <v>41063</v>
      </c>
      <c r="E356" s="1">
        <v>42119</v>
      </c>
      <c r="F356" t="s">
        <v>31</v>
      </c>
      <c r="G356" t="s">
        <v>3</v>
      </c>
      <c r="H356">
        <v>2000</v>
      </c>
      <c r="I356">
        <v>800</v>
      </c>
      <c r="J356">
        <v>30</v>
      </c>
      <c r="K356">
        <f>Claim[[#This Row],[Monto de prima]]-SUM(Claim[[#This Row],[Costo el reclamo]:[Costo de delivery]])</f>
        <v>1170</v>
      </c>
      <c r="L356" t="s">
        <v>10</v>
      </c>
      <c r="M356" t="s">
        <v>16</v>
      </c>
    </row>
    <row r="357" spans="2:13" x14ac:dyDescent="0.35">
      <c r="B357">
        <v>353</v>
      </c>
      <c r="C357">
        <v>4160</v>
      </c>
      <c r="D357" s="1">
        <v>43119</v>
      </c>
      <c r="E357" s="1">
        <v>43119</v>
      </c>
      <c r="F357" t="s">
        <v>4</v>
      </c>
      <c r="G357" t="s">
        <v>3</v>
      </c>
      <c r="H357">
        <v>1000</v>
      </c>
      <c r="I357">
        <v>550</v>
      </c>
      <c r="J357">
        <v>80</v>
      </c>
      <c r="K357">
        <f>Claim[[#This Row],[Monto de prima]]-SUM(Claim[[#This Row],[Costo el reclamo]:[Costo de delivery]])</f>
        <v>370</v>
      </c>
      <c r="L357" t="s">
        <v>13</v>
      </c>
      <c r="M357" t="s">
        <v>14</v>
      </c>
    </row>
    <row r="358" spans="2:13" x14ac:dyDescent="0.35">
      <c r="B358">
        <v>354</v>
      </c>
      <c r="C358">
        <v>4334</v>
      </c>
      <c r="D358" s="1">
        <v>40870</v>
      </c>
      <c r="E358" s="1">
        <v>43726</v>
      </c>
      <c r="F358" t="s">
        <v>30</v>
      </c>
      <c r="G358" t="s">
        <v>3</v>
      </c>
      <c r="H358">
        <v>600</v>
      </c>
      <c r="I358">
        <v>200</v>
      </c>
      <c r="J358">
        <v>20</v>
      </c>
      <c r="K358">
        <f>Claim[[#This Row],[Monto de prima]]-SUM(Claim[[#This Row],[Costo el reclamo]:[Costo de delivery]])</f>
        <v>380</v>
      </c>
      <c r="L358" t="s">
        <v>8</v>
      </c>
      <c r="M358" t="s">
        <v>17</v>
      </c>
    </row>
    <row r="359" spans="2:13" x14ac:dyDescent="0.35">
      <c r="B359">
        <v>355</v>
      </c>
      <c r="C359">
        <v>4714</v>
      </c>
      <c r="D359" s="1">
        <v>42682</v>
      </c>
      <c r="E359" s="1">
        <v>42682</v>
      </c>
      <c r="F359" t="s">
        <v>1</v>
      </c>
      <c r="G359" t="s">
        <v>6</v>
      </c>
      <c r="H359">
        <v>250</v>
      </c>
      <c r="I359">
        <v>450</v>
      </c>
      <c r="J359">
        <v>50</v>
      </c>
      <c r="K359">
        <f>Claim[[#This Row],[Monto de prima]]-SUM(Claim[[#This Row],[Costo el reclamo]:[Costo de delivery]])</f>
        <v>-250</v>
      </c>
      <c r="L359" t="s">
        <v>13</v>
      </c>
      <c r="M359" t="s">
        <v>14</v>
      </c>
    </row>
    <row r="360" spans="2:13" x14ac:dyDescent="0.35">
      <c r="B360">
        <v>356</v>
      </c>
      <c r="C360">
        <v>4489</v>
      </c>
      <c r="D360" s="1">
        <v>40522</v>
      </c>
      <c r="E360" s="1">
        <v>41851</v>
      </c>
      <c r="F360" t="s">
        <v>4</v>
      </c>
      <c r="G360" t="s">
        <v>2</v>
      </c>
      <c r="H360">
        <v>1000</v>
      </c>
      <c r="I360">
        <v>550</v>
      </c>
      <c r="J360">
        <v>50</v>
      </c>
      <c r="K360">
        <f>Claim[[#This Row],[Monto de prima]]-SUM(Claim[[#This Row],[Costo el reclamo]:[Costo de delivery]])</f>
        <v>400</v>
      </c>
      <c r="L360" t="s">
        <v>11</v>
      </c>
      <c r="M360" t="s">
        <v>18</v>
      </c>
    </row>
    <row r="361" spans="2:13" x14ac:dyDescent="0.35">
      <c r="B361">
        <v>357</v>
      </c>
      <c r="C361">
        <v>1118</v>
      </c>
      <c r="D361" s="1">
        <v>40564</v>
      </c>
      <c r="E361" s="1">
        <v>43681</v>
      </c>
      <c r="F361" t="s">
        <v>31</v>
      </c>
      <c r="G361" t="s">
        <v>6</v>
      </c>
      <c r="H361">
        <v>2000</v>
      </c>
      <c r="I361">
        <v>800</v>
      </c>
      <c r="J361">
        <v>20</v>
      </c>
      <c r="K361">
        <f>Claim[[#This Row],[Monto de prima]]-SUM(Claim[[#This Row],[Costo el reclamo]:[Costo de delivery]])</f>
        <v>1180</v>
      </c>
      <c r="L361" t="s">
        <v>12</v>
      </c>
      <c r="M361" t="s">
        <v>19</v>
      </c>
    </row>
    <row r="362" spans="2:13" x14ac:dyDescent="0.35">
      <c r="B362">
        <v>358</v>
      </c>
      <c r="C362">
        <v>2899</v>
      </c>
      <c r="D362" s="1">
        <v>40507</v>
      </c>
      <c r="E362" s="1">
        <v>42032</v>
      </c>
      <c r="F362" t="s">
        <v>31</v>
      </c>
      <c r="G362" t="s">
        <v>5</v>
      </c>
      <c r="H362">
        <v>2000</v>
      </c>
      <c r="I362">
        <v>800</v>
      </c>
      <c r="J362">
        <v>25</v>
      </c>
      <c r="K362">
        <f>Claim[[#This Row],[Monto de prima]]-SUM(Claim[[#This Row],[Costo el reclamo]:[Costo de delivery]])</f>
        <v>1175</v>
      </c>
      <c r="L362" t="s">
        <v>13</v>
      </c>
      <c r="M362" t="s">
        <v>14</v>
      </c>
    </row>
    <row r="363" spans="2:13" x14ac:dyDescent="0.35">
      <c r="B363">
        <v>359</v>
      </c>
      <c r="C363">
        <v>1835</v>
      </c>
      <c r="D363" s="1">
        <v>42578</v>
      </c>
      <c r="E363" s="1">
        <v>42578</v>
      </c>
      <c r="F363" t="s">
        <v>31</v>
      </c>
      <c r="G363" t="s">
        <v>5</v>
      </c>
      <c r="H363">
        <v>2000</v>
      </c>
      <c r="I363">
        <v>800</v>
      </c>
      <c r="J363">
        <v>25</v>
      </c>
      <c r="K363">
        <f>Claim[[#This Row],[Monto de prima]]-SUM(Claim[[#This Row],[Costo el reclamo]:[Costo de delivery]])</f>
        <v>1175</v>
      </c>
      <c r="L363" t="s">
        <v>13</v>
      </c>
      <c r="M363" t="s">
        <v>14</v>
      </c>
    </row>
    <row r="364" spans="2:13" x14ac:dyDescent="0.35">
      <c r="B364">
        <v>360</v>
      </c>
      <c r="C364">
        <v>3987</v>
      </c>
      <c r="D364" s="1">
        <v>41566</v>
      </c>
      <c r="E364" s="1">
        <v>41566</v>
      </c>
      <c r="F364" t="s">
        <v>31</v>
      </c>
      <c r="G364" t="s">
        <v>6</v>
      </c>
      <c r="H364">
        <v>2000</v>
      </c>
      <c r="I364">
        <v>800</v>
      </c>
      <c r="J364">
        <v>20</v>
      </c>
      <c r="K364">
        <f>Claim[[#This Row],[Monto de prima]]-SUM(Claim[[#This Row],[Costo el reclamo]:[Costo de delivery]])</f>
        <v>1180</v>
      </c>
      <c r="L364" t="s">
        <v>12</v>
      </c>
      <c r="M364" t="s">
        <v>19</v>
      </c>
    </row>
    <row r="365" spans="2:13" x14ac:dyDescent="0.35">
      <c r="B365">
        <v>361</v>
      </c>
      <c r="C365">
        <v>4422</v>
      </c>
      <c r="D365" s="1">
        <v>40606</v>
      </c>
      <c r="E365" s="1">
        <v>41459</v>
      </c>
      <c r="F365" t="s">
        <v>30</v>
      </c>
      <c r="G365" t="s">
        <v>3</v>
      </c>
      <c r="H365">
        <v>600</v>
      </c>
      <c r="I365">
        <v>200</v>
      </c>
      <c r="J365">
        <v>20</v>
      </c>
      <c r="K365">
        <f>Claim[[#This Row],[Monto de prima]]-SUM(Claim[[#This Row],[Costo el reclamo]:[Costo de delivery]])</f>
        <v>380</v>
      </c>
      <c r="L365" t="s">
        <v>10</v>
      </c>
      <c r="M365" t="s">
        <v>16</v>
      </c>
    </row>
    <row r="366" spans="2:13" x14ac:dyDescent="0.35">
      <c r="B366">
        <v>362</v>
      </c>
      <c r="C366">
        <v>1075</v>
      </c>
      <c r="D366" s="1">
        <v>42800</v>
      </c>
      <c r="E366" s="1">
        <v>42800</v>
      </c>
      <c r="F366" t="s">
        <v>31</v>
      </c>
      <c r="G366" t="s">
        <v>6</v>
      </c>
      <c r="H366">
        <v>2000</v>
      </c>
      <c r="I366">
        <v>800</v>
      </c>
      <c r="J366">
        <v>20</v>
      </c>
      <c r="K366">
        <f>Claim[[#This Row],[Monto de prima]]-SUM(Claim[[#This Row],[Costo el reclamo]:[Costo de delivery]])</f>
        <v>1180</v>
      </c>
      <c r="L366" t="s">
        <v>9</v>
      </c>
      <c r="M366" t="s">
        <v>15</v>
      </c>
    </row>
    <row r="367" spans="2:13" x14ac:dyDescent="0.35">
      <c r="B367">
        <v>363</v>
      </c>
      <c r="C367">
        <v>3461</v>
      </c>
      <c r="D367" s="1">
        <v>41820</v>
      </c>
      <c r="E367" s="1">
        <v>42124</v>
      </c>
      <c r="F367" t="s">
        <v>30</v>
      </c>
      <c r="G367" t="s">
        <v>5</v>
      </c>
      <c r="H367">
        <v>600</v>
      </c>
      <c r="I367">
        <v>200</v>
      </c>
      <c r="J367">
        <v>50</v>
      </c>
      <c r="K367">
        <f>Claim[[#This Row],[Monto de prima]]-SUM(Claim[[#This Row],[Costo el reclamo]:[Costo de delivery]])</f>
        <v>350</v>
      </c>
      <c r="L367" t="s">
        <v>11</v>
      </c>
      <c r="M367" t="s">
        <v>18</v>
      </c>
    </row>
    <row r="368" spans="2:13" x14ac:dyDescent="0.35">
      <c r="B368">
        <v>364</v>
      </c>
      <c r="C368">
        <v>2403</v>
      </c>
      <c r="D368" s="1">
        <v>42815</v>
      </c>
      <c r="E368" s="1">
        <v>42879</v>
      </c>
      <c r="F368" t="s">
        <v>30</v>
      </c>
      <c r="G368" t="s">
        <v>2</v>
      </c>
      <c r="H368">
        <v>600</v>
      </c>
      <c r="I368">
        <v>200</v>
      </c>
      <c r="J368">
        <v>35</v>
      </c>
      <c r="K368">
        <f>Claim[[#This Row],[Monto de prima]]-SUM(Claim[[#This Row],[Costo el reclamo]:[Costo de delivery]])</f>
        <v>365</v>
      </c>
      <c r="L368" t="s">
        <v>13</v>
      </c>
      <c r="M368" t="s">
        <v>14</v>
      </c>
    </row>
    <row r="369" spans="2:13" x14ac:dyDescent="0.35">
      <c r="B369">
        <v>365</v>
      </c>
      <c r="C369">
        <v>4670</v>
      </c>
      <c r="D369" s="1">
        <v>42676</v>
      </c>
      <c r="E369" s="1">
        <v>43588</v>
      </c>
      <c r="F369" t="s">
        <v>4</v>
      </c>
      <c r="G369" t="s">
        <v>3</v>
      </c>
      <c r="H369">
        <v>1000</v>
      </c>
      <c r="I369">
        <v>550</v>
      </c>
      <c r="J369">
        <v>80</v>
      </c>
      <c r="K369">
        <f>Claim[[#This Row],[Monto de prima]]-SUM(Claim[[#This Row],[Costo el reclamo]:[Costo de delivery]])</f>
        <v>370</v>
      </c>
      <c r="L369" t="s">
        <v>8</v>
      </c>
      <c r="M369" t="s">
        <v>17</v>
      </c>
    </row>
    <row r="370" spans="2:13" x14ac:dyDescent="0.35">
      <c r="B370">
        <v>366</v>
      </c>
      <c r="C370">
        <v>4078</v>
      </c>
      <c r="D370" s="1">
        <v>41868</v>
      </c>
      <c r="E370" s="1">
        <v>43309</v>
      </c>
      <c r="F370" t="s">
        <v>31</v>
      </c>
      <c r="G370" t="s">
        <v>5</v>
      </c>
      <c r="H370">
        <v>2000</v>
      </c>
      <c r="I370">
        <v>800</v>
      </c>
      <c r="J370">
        <v>25</v>
      </c>
      <c r="K370">
        <f>Claim[[#This Row],[Monto de prima]]-SUM(Claim[[#This Row],[Costo el reclamo]:[Costo de delivery]])</f>
        <v>1175</v>
      </c>
      <c r="L370" t="s">
        <v>11</v>
      </c>
      <c r="M370" t="s">
        <v>18</v>
      </c>
    </row>
    <row r="371" spans="2:13" x14ac:dyDescent="0.35">
      <c r="B371">
        <v>367</v>
      </c>
      <c r="C371">
        <v>2127</v>
      </c>
      <c r="D371" s="1">
        <v>42479</v>
      </c>
      <c r="E371" s="1">
        <v>42479</v>
      </c>
      <c r="F371" t="s">
        <v>4</v>
      </c>
      <c r="G371" t="s">
        <v>6</v>
      </c>
      <c r="H371">
        <v>1000</v>
      </c>
      <c r="I371">
        <v>550</v>
      </c>
      <c r="J371">
        <v>30</v>
      </c>
      <c r="K371">
        <f>Claim[[#This Row],[Monto de prima]]-SUM(Claim[[#This Row],[Costo el reclamo]:[Costo de delivery]])</f>
        <v>420</v>
      </c>
      <c r="L371" t="s">
        <v>7</v>
      </c>
      <c r="M371" t="s">
        <v>16</v>
      </c>
    </row>
    <row r="372" spans="2:13" x14ac:dyDescent="0.35">
      <c r="B372">
        <v>368</v>
      </c>
      <c r="C372">
        <v>1927</v>
      </c>
      <c r="D372" s="1">
        <v>40932</v>
      </c>
      <c r="E372" s="1">
        <v>41959</v>
      </c>
      <c r="F372" t="s">
        <v>1</v>
      </c>
      <c r="G372" t="s">
        <v>5</v>
      </c>
      <c r="H372">
        <v>250</v>
      </c>
      <c r="I372">
        <v>450</v>
      </c>
      <c r="J372">
        <v>100</v>
      </c>
      <c r="K372">
        <f>Claim[[#This Row],[Monto de prima]]-SUM(Claim[[#This Row],[Costo el reclamo]:[Costo de delivery]])</f>
        <v>-300</v>
      </c>
      <c r="L372" t="s">
        <v>13</v>
      </c>
      <c r="M372" t="s">
        <v>14</v>
      </c>
    </row>
    <row r="373" spans="2:13" x14ac:dyDescent="0.35">
      <c r="B373">
        <v>369</v>
      </c>
      <c r="C373">
        <v>3392</v>
      </c>
      <c r="D373" s="1">
        <v>42128</v>
      </c>
      <c r="E373" s="1">
        <v>42255</v>
      </c>
      <c r="F373" t="s">
        <v>4</v>
      </c>
      <c r="G373" t="s">
        <v>6</v>
      </c>
      <c r="H373">
        <v>1000</v>
      </c>
      <c r="I373">
        <v>550</v>
      </c>
      <c r="J373">
        <v>30</v>
      </c>
      <c r="K373">
        <f>Claim[[#This Row],[Monto de prima]]-SUM(Claim[[#This Row],[Costo el reclamo]:[Costo de delivery]])</f>
        <v>420</v>
      </c>
      <c r="L373" t="s">
        <v>13</v>
      </c>
      <c r="M373" t="s">
        <v>14</v>
      </c>
    </row>
    <row r="374" spans="2:13" x14ac:dyDescent="0.35">
      <c r="B374">
        <v>370</v>
      </c>
      <c r="C374">
        <v>4750</v>
      </c>
      <c r="D374" s="1">
        <v>41120</v>
      </c>
      <c r="E374" s="1">
        <v>43376</v>
      </c>
      <c r="F374" t="s">
        <v>1</v>
      </c>
      <c r="G374" t="s">
        <v>6</v>
      </c>
      <c r="H374">
        <v>250</v>
      </c>
      <c r="I374">
        <v>450</v>
      </c>
      <c r="J374">
        <v>50</v>
      </c>
      <c r="K374">
        <f>Claim[[#This Row],[Monto de prima]]-SUM(Claim[[#This Row],[Costo el reclamo]:[Costo de delivery]])</f>
        <v>-250</v>
      </c>
      <c r="L374" t="s">
        <v>7</v>
      </c>
      <c r="M374" t="s">
        <v>16</v>
      </c>
    </row>
    <row r="375" spans="2:13" x14ac:dyDescent="0.35">
      <c r="B375">
        <v>371</v>
      </c>
      <c r="C375">
        <v>3219</v>
      </c>
      <c r="D375" s="1">
        <v>41605</v>
      </c>
      <c r="E375" s="1">
        <v>43312</v>
      </c>
      <c r="F375" t="s">
        <v>31</v>
      </c>
      <c r="G375" t="s">
        <v>2</v>
      </c>
      <c r="H375">
        <v>2000</v>
      </c>
      <c r="I375">
        <v>800</v>
      </c>
      <c r="J375">
        <v>40</v>
      </c>
      <c r="K375">
        <f>Claim[[#This Row],[Monto de prima]]-SUM(Claim[[#This Row],[Costo el reclamo]:[Costo de delivery]])</f>
        <v>1160</v>
      </c>
      <c r="L375" t="s">
        <v>8</v>
      </c>
      <c r="M375" t="s">
        <v>17</v>
      </c>
    </row>
    <row r="376" spans="2:13" x14ac:dyDescent="0.35">
      <c r="B376">
        <v>372</v>
      </c>
      <c r="C376">
        <v>4669</v>
      </c>
      <c r="D376" s="1">
        <v>41158</v>
      </c>
      <c r="E376" s="1">
        <v>43387</v>
      </c>
      <c r="F376" t="s">
        <v>30</v>
      </c>
      <c r="G376" t="s">
        <v>2</v>
      </c>
      <c r="H376">
        <v>600</v>
      </c>
      <c r="I376">
        <v>200</v>
      </c>
      <c r="J376">
        <v>35</v>
      </c>
      <c r="K376">
        <f>Claim[[#This Row],[Monto de prima]]-SUM(Claim[[#This Row],[Costo el reclamo]:[Costo de delivery]])</f>
        <v>365</v>
      </c>
      <c r="L376" t="s">
        <v>13</v>
      </c>
      <c r="M376" t="s">
        <v>14</v>
      </c>
    </row>
    <row r="377" spans="2:13" x14ac:dyDescent="0.35">
      <c r="B377">
        <v>373</v>
      </c>
      <c r="C377">
        <v>2273</v>
      </c>
      <c r="D377" s="1">
        <v>40315</v>
      </c>
      <c r="E377" s="1">
        <v>41426</v>
      </c>
      <c r="F377" t="s">
        <v>4</v>
      </c>
      <c r="G377" t="s">
        <v>5</v>
      </c>
      <c r="H377">
        <v>1000</v>
      </c>
      <c r="I377">
        <v>550</v>
      </c>
      <c r="J377">
        <v>50</v>
      </c>
      <c r="K377">
        <f>Claim[[#This Row],[Monto de prima]]-SUM(Claim[[#This Row],[Costo el reclamo]:[Costo de delivery]])</f>
        <v>400</v>
      </c>
      <c r="L377" t="s">
        <v>9</v>
      </c>
      <c r="M377" t="s">
        <v>15</v>
      </c>
    </row>
    <row r="378" spans="2:13" x14ac:dyDescent="0.35">
      <c r="B378">
        <v>374</v>
      </c>
      <c r="C378">
        <v>3165</v>
      </c>
      <c r="D378" s="1">
        <v>42565</v>
      </c>
      <c r="E378" s="1">
        <v>43497</v>
      </c>
      <c r="F378" t="s">
        <v>1</v>
      </c>
      <c r="G378" t="s">
        <v>3</v>
      </c>
      <c r="H378">
        <v>250</v>
      </c>
      <c r="I378">
        <v>450</v>
      </c>
      <c r="J378">
        <v>80</v>
      </c>
      <c r="K378">
        <f>Claim[[#This Row],[Monto de prima]]-SUM(Claim[[#This Row],[Costo el reclamo]:[Costo de delivery]])</f>
        <v>-280</v>
      </c>
      <c r="L378" t="s">
        <v>13</v>
      </c>
      <c r="M378" t="s">
        <v>14</v>
      </c>
    </row>
    <row r="379" spans="2:13" x14ac:dyDescent="0.35">
      <c r="B379">
        <v>375</v>
      </c>
      <c r="C379">
        <v>3756</v>
      </c>
      <c r="D379" s="1">
        <v>41735</v>
      </c>
      <c r="E379" s="1">
        <v>41735</v>
      </c>
      <c r="F379" t="s">
        <v>30</v>
      </c>
      <c r="G379" t="s">
        <v>6</v>
      </c>
      <c r="H379">
        <v>600</v>
      </c>
      <c r="I379">
        <v>200</v>
      </c>
      <c r="J379">
        <v>15</v>
      </c>
      <c r="K379">
        <f>Claim[[#This Row],[Monto de prima]]-SUM(Claim[[#This Row],[Costo el reclamo]:[Costo de delivery]])</f>
        <v>385</v>
      </c>
      <c r="L379" t="s">
        <v>9</v>
      </c>
      <c r="M379" t="s">
        <v>15</v>
      </c>
    </row>
    <row r="380" spans="2:13" x14ac:dyDescent="0.35">
      <c r="B380">
        <v>376</v>
      </c>
      <c r="C380">
        <v>3905</v>
      </c>
      <c r="D380" s="1">
        <v>42570</v>
      </c>
      <c r="E380" s="1">
        <v>43492</v>
      </c>
      <c r="F380" t="s">
        <v>1</v>
      </c>
      <c r="G380" t="s">
        <v>6</v>
      </c>
      <c r="H380">
        <v>250</v>
      </c>
      <c r="I380">
        <v>450</v>
      </c>
      <c r="J380">
        <v>50</v>
      </c>
      <c r="K380">
        <f>Claim[[#This Row],[Monto de prima]]-SUM(Claim[[#This Row],[Costo el reclamo]:[Costo de delivery]])</f>
        <v>-250</v>
      </c>
      <c r="L380" t="s">
        <v>10</v>
      </c>
      <c r="M380" t="s">
        <v>16</v>
      </c>
    </row>
    <row r="381" spans="2:13" x14ac:dyDescent="0.35">
      <c r="B381">
        <v>377</v>
      </c>
      <c r="C381">
        <v>3739</v>
      </c>
      <c r="D381" s="1">
        <v>40216</v>
      </c>
      <c r="E381" s="1">
        <v>42400</v>
      </c>
      <c r="F381" t="s">
        <v>31</v>
      </c>
      <c r="G381" t="s">
        <v>6</v>
      </c>
      <c r="H381">
        <v>2000</v>
      </c>
      <c r="I381">
        <v>800</v>
      </c>
      <c r="J381">
        <v>20</v>
      </c>
      <c r="K381">
        <f>Claim[[#This Row],[Monto de prima]]-SUM(Claim[[#This Row],[Costo el reclamo]:[Costo de delivery]])</f>
        <v>1180</v>
      </c>
      <c r="L381" t="s">
        <v>12</v>
      </c>
      <c r="M381" t="s">
        <v>19</v>
      </c>
    </row>
    <row r="382" spans="2:13" x14ac:dyDescent="0.35">
      <c r="B382">
        <v>378</v>
      </c>
      <c r="C382">
        <v>1738</v>
      </c>
      <c r="D382" s="1">
        <v>40960</v>
      </c>
      <c r="E382" s="1">
        <v>43469</v>
      </c>
      <c r="F382" t="s">
        <v>30</v>
      </c>
      <c r="G382" t="s">
        <v>3</v>
      </c>
      <c r="H382">
        <v>600</v>
      </c>
      <c r="I382">
        <v>200</v>
      </c>
      <c r="J382">
        <v>20</v>
      </c>
      <c r="K382">
        <f>Claim[[#This Row],[Monto de prima]]-SUM(Claim[[#This Row],[Costo el reclamo]:[Costo de delivery]])</f>
        <v>380</v>
      </c>
      <c r="L382" t="s">
        <v>11</v>
      </c>
      <c r="M382" t="s">
        <v>18</v>
      </c>
    </row>
    <row r="383" spans="2:13" x14ac:dyDescent="0.35">
      <c r="B383">
        <v>379</v>
      </c>
      <c r="C383">
        <v>3999</v>
      </c>
      <c r="D383" s="1">
        <v>42231</v>
      </c>
      <c r="E383" s="1">
        <v>43645</v>
      </c>
      <c r="F383" t="s">
        <v>30</v>
      </c>
      <c r="G383" t="s">
        <v>6</v>
      </c>
      <c r="H383">
        <v>600</v>
      </c>
      <c r="I383">
        <v>200</v>
      </c>
      <c r="J383">
        <v>15</v>
      </c>
      <c r="K383">
        <f>Claim[[#This Row],[Monto de prima]]-SUM(Claim[[#This Row],[Costo el reclamo]:[Costo de delivery]])</f>
        <v>385</v>
      </c>
      <c r="L383" t="s">
        <v>11</v>
      </c>
      <c r="M383" t="s">
        <v>18</v>
      </c>
    </row>
    <row r="384" spans="2:13" x14ac:dyDescent="0.35">
      <c r="B384">
        <v>380</v>
      </c>
      <c r="C384">
        <v>1170</v>
      </c>
      <c r="D384" s="1">
        <v>41114</v>
      </c>
      <c r="E384" s="1">
        <v>41821</v>
      </c>
      <c r="F384" t="s">
        <v>30</v>
      </c>
      <c r="G384" t="s">
        <v>5</v>
      </c>
      <c r="H384">
        <v>600</v>
      </c>
      <c r="I384">
        <v>200</v>
      </c>
      <c r="J384">
        <v>50</v>
      </c>
      <c r="K384">
        <f>Claim[[#This Row],[Monto de prima]]-SUM(Claim[[#This Row],[Costo el reclamo]:[Costo de delivery]])</f>
        <v>350</v>
      </c>
      <c r="L384" t="s">
        <v>7</v>
      </c>
      <c r="M384" t="s">
        <v>16</v>
      </c>
    </row>
    <row r="385" spans="2:13" x14ac:dyDescent="0.35">
      <c r="B385">
        <v>381</v>
      </c>
      <c r="C385">
        <v>1996</v>
      </c>
      <c r="D385" s="1">
        <v>41285</v>
      </c>
      <c r="E385" s="1">
        <v>41347</v>
      </c>
      <c r="F385" t="s">
        <v>1</v>
      </c>
      <c r="G385" t="s">
        <v>5</v>
      </c>
      <c r="H385">
        <v>250</v>
      </c>
      <c r="I385">
        <v>450</v>
      </c>
      <c r="J385">
        <v>100</v>
      </c>
      <c r="K385">
        <f>Claim[[#This Row],[Monto de prima]]-SUM(Claim[[#This Row],[Costo el reclamo]:[Costo de delivery]])</f>
        <v>-300</v>
      </c>
      <c r="L385" t="s">
        <v>13</v>
      </c>
      <c r="M385" t="s">
        <v>14</v>
      </c>
    </row>
    <row r="386" spans="2:13" x14ac:dyDescent="0.35">
      <c r="B386">
        <v>382</v>
      </c>
      <c r="C386">
        <v>2880</v>
      </c>
      <c r="D386" s="1">
        <v>42562</v>
      </c>
      <c r="E386" s="1">
        <v>42562</v>
      </c>
      <c r="F386" t="s">
        <v>30</v>
      </c>
      <c r="G386" t="s">
        <v>6</v>
      </c>
      <c r="H386">
        <v>600</v>
      </c>
      <c r="I386">
        <v>200</v>
      </c>
      <c r="J386">
        <v>15</v>
      </c>
      <c r="K386">
        <f>Claim[[#This Row],[Monto de prima]]-SUM(Claim[[#This Row],[Costo el reclamo]:[Costo de delivery]])</f>
        <v>385</v>
      </c>
      <c r="L386" t="s">
        <v>12</v>
      </c>
      <c r="M386" t="s">
        <v>19</v>
      </c>
    </row>
    <row r="387" spans="2:13" x14ac:dyDescent="0.35">
      <c r="B387">
        <v>383</v>
      </c>
      <c r="C387">
        <v>4803</v>
      </c>
      <c r="D387" s="1">
        <v>40966</v>
      </c>
      <c r="E387" s="1">
        <v>42936</v>
      </c>
      <c r="F387" t="s">
        <v>30</v>
      </c>
      <c r="G387" t="s">
        <v>6</v>
      </c>
      <c r="H387">
        <v>600</v>
      </c>
      <c r="I387">
        <v>200</v>
      </c>
      <c r="J387">
        <v>15</v>
      </c>
      <c r="K387">
        <f>Claim[[#This Row],[Monto de prima]]-SUM(Claim[[#This Row],[Costo el reclamo]:[Costo de delivery]])</f>
        <v>385</v>
      </c>
      <c r="L387" t="s">
        <v>11</v>
      </c>
      <c r="M387" t="s">
        <v>18</v>
      </c>
    </row>
    <row r="388" spans="2:13" x14ac:dyDescent="0.35">
      <c r="B388">
        <v>384</v>
      </c>
      <c r="C388">
        <v>3802</v>
      </c>
      <c r="D388" s="1">
        <v>42776</v>
      </c>
      <c r="E388" s="1">
        <v>42776</v>
      </c>
      <c r="F388" t="s">
        <v>4</v>
      </c>
      <c r="G388" t="s">
        <v>3</v>
      </c>
      <c r="H388">
        <v>1000</v>
      </c>
      <c r="I388">
        <v>550</v>
      </c>
      <c r="J388">
        <v>80</v>
      </c>
      <c r="K388">
        <f>Claim[[#This Row],[Monto de prima]]-SUM(Claim[[#This Row],[Costo el reclamo]:[Costo de delivery]])</f>
        <v>370</v>
      </c>
      <c r="L388" t="s">
        <v>12</v>
      </c>
      <c r="M388" t="s">
        <v>19</v>
      </c>
    </row>
    <row r="389" spans="2:13" x14ac:dyDescent="0.35">
      <c r="B389">
        <v>385</v>
      </c>
      <c r="C389">
        <v>2000</v>
      </c>
      <c r="D389" s="1">
        <v>42284</v>
      </c>
      <c r="E389" s="1">
        <v>42284</v>
      </c>
      <c r="F389" t="s">
        <v>31</v>
      </c>
      <c r="G389" t="s">
        <v>3</v>
      </c>
      <c r="H389">
        <v>2000</v>
      </c>
      <c r="I389">
        <v>800</v>
      </c>
      <c r="J389">
        <v>30</v>
      </c>
      <c r="K389">
        <f>Claim[[#This Row],[Monto de prima]]-SUM(Claim[[#This Row],[Costo el reclamo]:[Costo de delivery]])</f>
        <v>1170</v>
      </c>
      <c r="L389" t="s">
        <v>11</v>
      </c>
      <c r="M389" t="s">
        <v>18</v>
      </c>
    </row>
    <row r="390" spans="2:13" x14ac:dyDescent="0.35">
      <c r="B390">
        <v>386</v>
      </c>
      <c r="C390">
        <v>4737</v>
      </c>
      <c r="D390" s="1">
        <v>42462</v>
      </c>
      <c r="E390" s="1">
        <v>42933</v>
      </c>
      <c r="F390" t="s">
        <v>30</v>
      </c>
      <c r="G390" t="s">
        <v>6</v>
      </c>
      <c r="H390">
        <v>600</v>
      </c>
      <c r="I390">
        <v>200</v>
      </c>
      <c r="J390">
        <v>15</v>
      </c>
      <c r="K390">
        <f>Claim[[#This Row],[Monto de prima]]-SUM(Claim[[#This Row],[Costo el reclamo]:[Costo de delivery]])</f>
        <v>385</v>
      </c>
      <c r="L390" t="s">
        <v>13</v>
      </c>
      <c r="M390" t="s">
        <v>14</v>
      </c>
    </row>
    <row r="391" spans="2:13" x14ac:dyDescent="0.35">
      <c r="B391">
        <v>387</v>
      </c>
      <c r="C391">
        <v>3170</v>
      </c>
      <c r="D391" s="1">
        <v>40310</v>
      </c>
      <c r="E391" s="1">
        <v>41187</v>
      </c>
      <c r="F391" t="s">
        <v>30</v>
      </c>
      <c r="G391" t="s">
        <v>3</v>
      </c>
      <c r="H391">
        <v>600</v>
      </c>
      <c r="I391">
        <v>200</v>
      </c>
      <c r="J391">
        <v>20</v>
      </c>
      <c r="K391">
        <f>Claim[[#This Row],[Monto de prima]]-SUM(Claim[[#This Row],[Costo el reclamo]:[Costo de delivery]])</f>
        <v>380</v>
      </c>
      <c r="L391" t="s">
        <v>9</v>
      </c>
      <c r="M391" t="s">
        <v>15</v>
      </c>
    </row>
    <row r="392" spans="2:13" x14ac:dyDescent="0.35">
      <c r="B392">
        <v>388</v>
      </c>
      <c r="C392">
        <v>1289</v>
      </c>
      <c r="D392" s="1">
        <v>40778</v>
      </c>
      <c r="E392" s="1">
        <v>41725</v>
      </c>
      <c r="F392" t="s">
        <v>31</v>
      </c>
      <c r="G392" t="s">
        <v>2</v>
      </c>
      <c r="H392">
        <v>2000</v>
      </c>
      <c r="I392">
        <v>800</v>
      </c>
      <c r="J392">
        <v>40</v>
      </c>
      <c r="K392">
        <f>Claim[[#This Row],[Monto de prima]]-SUM(Claim[[#This Row],[Costo el reclamo]:[Costo de delivery]])</f>
        <v>1160</v>
      </c>
      <c r="L392" t="s">
        <v>9</v>
      </c>
      <c r="M392" t="s">
        <v>15</v>
      </c>
    </row>
    <row r="393" spans="2:13" x14ac:dyDescent="0.35">
      <c r="B393">
        <v>389</v>
      </c>
      <c r="C393">
        <v>2681</v>
      </c>
      <c r="D393" s="1">
        <v>40285</v>
      </c>
      <c r="E393" s="1">
        <v>42399</v>
      </c>
      <c r="F393" t="s">
        <v>31</v>
      </c>
      <c r="G393" t="s">
        <v>2</v>
      </c>
      <c r="H393">
        <v>2000</v>
      </c>
      <c r="I393">
        <v>800</v>
      </c>
      <c r="J393">
        <v>40</v>
      </c>
      <c r="K393">
        <f>Claim[[#This Row],[Monto de prima]]-SUM(Claim[[#This Row],[Costo el reclamo]:[Costo de delivery]])</f>
        <v>1160</v>
      </c>
      <c r="L393" t="s">
        <v>9</v>
      </c>
      <c r="M393" t="s">
        <v>15</v>
      </c>
    </row>
    <row r="394" spans="2:13" x14ac:dyDescent="0.35">
      <c r="B394">
        <v>390</v>
      </c>
      <c r="C394">
        <v>1032</v>
      </c>
      <c r="D394" s="1">
        <v>41219</v>
      </c>
      <c r="E394" s="1">
        <v>41977</v>
      </c>
      <c r="F394" t="s">
        <v>4</v>
      </c>
      <c r="G394" t="s">
        <v>5</v>
      </c>
      <c r="H394">
        <v>1000</v>
      </c>
      <c r="I394">
        <v>550</v>
      </c>
      <c r="J394">
        <v>50</v>
      </c>
      <c r="K394">
        <f>Claim[[#This Row],[Monto de prima]]-SUM(Claim[[#This Row],[Costo el reclamo]:[Costo de delivery]])</f>
        <v>400</v>
      </c>
      <c r="L394" t="s">
        <v>11</v>
      </c>
      <c r="M394" t="s">
        <v>18</v>
      </c>
    </row>
    <row r="395" spans="2:13" x14ac:dyDescent="0.35">
      <c r="B395">
        <v>391</v>
      </c>
      <c r="C395">
        <v>2418</v>
      </c>
      <c r="D395" s="1">
        <v>43182</v>
      </c>
      <c r="E395" s="1">
        <v>43479</v>
      </c>
      <c r="F395" t="s">
        <v>30</v>
      </c>
      <c r="G395" t="s">
        <v>3</v>
      </c>
      <c r="H395">
        <v>600</v>
      </c>
      <c r="I395">
        <v>200</v>
      </c>
      <c r="J395">
        <v>20</v>
      </c>
      <c r="K395">
        <f>Claim[[#This Row],[Monto de prima]]-SUM(Claim[[#This Row],[Costo el reclamo]:[Costo de delivery]])</f>
        <v>380</v>
      </c>
      <c r="L395" t="s">
        <v>9</v>
      </c>
      <c r="M395" t="s">
        <v>15</v>
      </c>
    </row>
    <row r="396" spans="2:13" x14ac:dyDescent="0.35">
      <c r="B396">
        <v>392</v>
      </c>
      <c r="C396">
        <v>4557</v>
      </c>
      <c r="D396" s="1">
        <v>41447</v>
      </c>
      <c r="E396" s="1">
        <v>41447</v>
      </c>
      <c r="F396" t="s">
        <v>1</v>
      </c>
      <c r="G396" t="s">
        <v>3</v>
      </c>
      <c r="H396">
        <v>250</v>
      </c>
      <c r="I396">
        <v>450</v>
      </c>
      <c r="J396">
        <v>80</v>
      </c>
      <c r="K396">
        <f>Claim[[#This Row],[Monto de prima]]-SUM(Claim[[#This Row],[Costo el reclamo]:[Costo de delivery]])</f>
        <v>-280</v>
      </c>
      <c r="L396" t="s">
        <v>9</v>
      </c>
      <c r="M396" t="s">
        <v>15</v>
      </c>
    </row>
    <row r="397" spans="2:13" x14ac:dyDescent="0.35">
      <c r="B397">
        <v>393</v>
      </c>
      <c r="C397">
        <v>4606</v>
      </c>
      <c r="D397" s="1">
        <v>42493</v>
      </c>
      <c r="E397" s="1">
        <v>42493</v>
      </c>
      <c r="F397" t="s">
        <v>31</v>
      </c>
      <c r="G397" t="s">
        <v>6</v>
      </c>
      <c r="H397">
        <v>2000</v>
      </c>
      <c r="I397">
        <v>800</v>
      </c>
      <c r="J397">
        <v>20</v>
      </c>
      <c r="K397">
        <f>Claim[[#This Row],[Monto de prima]]-SUM(Claim[[#This Row],[Costo el reclamo]:[Costo de delivery]])</f>
        <v>1180</v>
      </c>
      <c r="L397" t="s">
        <v>12</v>
      </c>
      <c r="M397" t="s">
        <v>19</v>
      </c>
    </row>
    <row r="398" spans="2:13" x14ac:dyDescent="0.35">
      <c r="B398">
        <v>394</v>
      </c>
      <c r="C398">
        <v>1561</v>
      </c>
      <c r="D398" s="1">
        <v>40420</v>
      </c>
      <c r="E398" s="1">
        <v>42763</v>
      </c>
      <c r="F398" t="s">
        <v>31</v>
      </c>
      <c r="G398" t="s">
        <v>2</v>
      </c>
      <c r="H398">
        <v>2000</v>
      </c>
      <c r="I398">
        <v>800</v>
      </c>
      <c r="J398">
        <v>40</v>
      </c>
      <c r="K398">
        <f>Claim[[#This Row],[Monto de prima]]-SUM(Claim[[#This Row],[Costo el reclamo]:[Costo de delivery]])</f>
        <v>1160</v>
      </c>
      <c r="L398" t="s">
        <v>9</v>
      </c>
      <c r="M398" t="s">
        <v>15</v>
      </c>
    </row>
    <row r="399" spans="2:13" x14ac:dyDescent="0.35">
      <c r="B399">
        <v>395</v>
      </c>
      <c r="C399">
        <v>2313</v>
      </c>
      <c r="D399" s="1">
        <v>40402</v>
      </c>
      <c r="E399" s="1">
        <v>41221</v>
      </c>
      <c r="F399" t="s">
        <v>4</v>
      </c>
      <c r="G399" t="s">
        <v>3</v>
      </c>
      <c r="H399">
        <v>1000</v>
      </c>
      <c r="I399">
        <v>550</v>
      </c>
      <c r="J399">
        <v>80</v>
      </c>
      <c r="K399">
        <f>Claim[[#This Row],[Monto de prima]]-SUM(Claim[[#This Row],[Costo el reclamo]:[Costo de delivery]])</f>
        <v>370</v>
      </c>
      <c r="L399" t="s">
        <v>7</v>
      </c>
      <c r="M399" t="s">
        <v>16</v>
      </c>
    </row>
    <row r="400" spans="2:13" x14ac:dyDescent="0.35">
      <c r="B400">
        <v>396</v>
      </c>
      <c r="C400">
        <v>1411</v>
      </c>
      <c r="D400" s="1">
        <v>42781</v>
      </c>
      <c r="E400" s="1">
        <v>42781</v>
      </c>
      <c r="F400" t="s">
        <v>31</v>
      </c>
      <c r="G400" t="s">
        <v>2</v>
      </c>
      <c r="H400">
        <v>2000</v>
      </c>
      <c r="I400">
        <v>800</v>
      </c>
      <c r="J400">
        <v>40</v>
      </c>
      <c r="K400">
        <f>Claim[[#This Row],[Monto de prima]]-SUM(Claim[[#This Row],[Costo el reclamo]:[Costo de delivery]])</f>
        <v>1160</v>
      </c>
      <c r="L400" t="s">
        <v>12</v>
      </c>
      <c r="M400" t="s">
        <v>19</v>
      </c>
    </row>
    <row r="401" spans="2:13" x14ac:dyDescent="0.35">
      <c r="B401">
        <v>397</v>
      </c>
      <c r="C401">
        <v>2917</v>
      </c>
      <c r="D401" s="1">
        <v>42220</v>
      </c>
      <c r="E401" s="1">
        <v>42220</v>
      </c>
      <c r="F401" t="s">
        <v>1</v>
      </c>
      <c r="G401" t="s">
        <v>3</v>
      </c>
      <c r="H401">
        <v>250</v>
      </c>
      <c r="I401">
        <v>450</v>
      </c>
      <c r="J401">
        <v>80</v>
      </c>
      <c r="K401">
        <f>Claim[[#This Row],[Monto de prima]]-SUM(Claim[[#This Row],[Costo el reclamo]:[Costo de delivery]])</f>
        <v>-280</v>
      </c>
      <c r="L401" t="s">
        <v>10</v>
      </c>
      <c r="M401" t="s">
        <v>16</v>
      </c>
    </row>
    <row r="402" spans="2:13" x14ac:dyDescent="0.35">
      <c r="B402">
        <v>398</v>
      </c>
      <c r="C402">
        <v>3388</v>
      </c>
      <c r="D402" s="1">
        <v>40370</v>
      </c>
      <c r="E402" s="1">
        <v>43668</v>
      </c>
      <c r="F402" t="s">
        <v>4</v>
      </c>
      <c r="G402" t="s">
        <v>3</v>
      </c>
      <c r="H402">
        <v>1000</v>
      </c>
      <c r="I402">
        <v>550</v>
      </c>
      <c r="J402">
        <v>80</v>
      </c>
      <c r="K402">
        <f>Claim[[#This Row],[Monto de prima]]-SUM(Claim[[#This Row],[Costo el reclamo]:[Costo de delivery]])</f>
        <v>370</v>
      </c>
      <c r="L402" t="s">
        <v>10</v>
      </c>
      <c r="M402" t="s">
        <v>16</v>
      </c>
    </row>
    <row r="403" spans="2:13" x14ac:dyDescent="0.35">
      <c r="B403">
        <v>399</v>
      </c>
      <c r="C403">
        <v>2237</v>
      </c>
      <c r="D403" s="1">
        <v>42286</v>
      </c>
      <c r="E403" s="1">
        <v>42338</v>
      </c>
      <c r="F403" t="s">
        <v>30</v>
      </c>
      <c r="G403" t="s">
        <v>5</v>
      </c>
      <c r="H403">
        <v>600</v>
      </c>
      <c r="I403">
        <v>200</v>
      </c>
      <c r="J403">
        <v>50</v>
      </c>
      <c r="K403">
        <f>Claim[[#This Row],[Monto de prima]]-SUM(Claim[[#This Row],[Costo el reclamo]:[Costo de delivery]])</f>
        <v>350</v>
      </c>
      <c r="L403" t="s">
        <v>7</v>
      </c>
      <c r="M403" t="s">
        <v>16</v>
      </c>
    </row>
    <row r="404" spans="2:13" x14ac:dyDescent="0.35">
      <c r="B404">
        <v>400</v>
      </c>
      <c r="C404">
        <v>2606</v>
      </c>
      <c r="D404" s="1">
        <v>40528</v>
      </c>
      <c r="E404" s="1">
        <v>42918</v>
      </c>
      <c r="F404" t="s">
        <v>1</v>
      </c>
      <c r="G404" t="s">
        <v>5</v>
      </c>
      <c r="H404">
        <v>250</v>
      </c>
      <c r="I404">
        <v>450</v>
      </c>
      <c r="J404">
        <v>100</v>
      </c>
      <c r="K404">
        <f>Claim[[#This Row],[Monto de prima]]-SUM(Claim[[#This Row],[Costo el reclamo]:[Costo de delivery]])</f>
        <v>-300</v>
      </c>
      <c r="L404" t="s">
        <v>8</v>
      </c>
      <c r="M404" t="s">
        <v>17</v>
      </c>
    </row>
    <row r="405" spans="2:13" x14ac:dyDescent="0.35">
      <c r="B405">
        <v>401</v>
      </c>
      <c r="C405">
        <v>2089</v>
      </c>
      <c r="D405" s="1">
        <v>41689</v>
      </c>
      <c r="E405" s="1">
        <v>42790</v>
      </c>
      <c r="F405" t="s">
        <v>1</v>
      </c>
      <c r="G405" t="s">
        <v>5</v>
      </c>
      <c r="H405">
        <v>250</v>
      </c>
      <c r="I405">
        <v>450</v>
      </c>
      <c r="J405">
        <v>100</v>
      </c>
      <c r="K405">
        <f>Claim[[#This Row],[Monto de prima]]-SUM(Claim[[#This Row],[Costo el reclamo]:[Costo de delivery]])</f>
        <v>-300</v>
      </c>
      <c r="L405" t="s">
        <v>7</v>
      </c>
      <c r="M405" t="s">
        <v>16</v>
      </c>
    </row>
    <row r="406" spans="2:13" x14ac:dyDescent="0.35">
      <c r="B406">
        <v>402</v>
      </c>
      <c r="C406">
        <v>1440</v>
      </c>
      <c r="D406" s="1">
        <v>40863</v>
      </c>
      <c r="E406" s="1">
        <v>41485</v>
      </c>
      <c r="F406" t="s">
        <v>30</v>
      </c>
      <c r="G406" t="s">
        <v>6</v>
      </c>
      <c r="H406">
        <v>600</v>
      </c>
      <c r="I406">
        <v>200</v>
      </c>
      <c r="J406">
        <v>15</v>
      </c>
      <c r="K406">
        <f>Claim[[#This Row],[Monto de prima]]-SUM(Claim[[#This Row],[Costo el reclamo]:[Costo de delivery]])</f>
        <v>385</v>
      </c>
      <c r="L406" t="s">
        <v>12</v>
      </c>
      <c r="M406" t="s">
        <v>19</v>
      </c>
    </row>
    <row r="407" spans="2:13" x14ac:dyDescent="0.35">
      <c r="B407">
        <v>403</v>
      </c>
      <c r="C407">
        <v>2085</v>
      </c>
      <c r="D407" s="1">
        <v>40877</v>
      </c>
      <c r="E407" s="1">
        <v>43537</v>
      </c>
      <c r="F407" t="s">
        <v>4</v>
      </c>
      <c r="G407" t="s">
        <v>2</v>
      </c>
      <c r="H407">
        <v>1000</v>
      </c>
      <c r="I407">
        <v>550</v>
      </c>
      <c r="J407">
        <v>50</v>
      </c>
      <c r="K407">
        <f>Claim[[#This Row],[Monto de prima]]-SUM(Claim[[#This Row],[Costo el reclamo]:[Costo de delivery]])</f>
        <v>400</v>
      </c>
      <c r="L407" t="s">
        <v>13</v>
      </c>
      <c r="M407" t="s">
        <v>14</v>
      </c>
    </row>
    <row r="408" spans="2:13" x14ac:dyDescent="0.35">
      <c r="B408">
        <v>404</v>
      </c>
      <c r="C408">
        <v>3965</v>
      </c>
      <c r="D408" s="1">
        <v>41239</v>
      </c>
      <c r="E408" s="1">
        <v>41239</v>
      </c>
      <c r="F408" t="s">
        <v>30</v>
      </c>
      <c r="G408" t="s">
        <v>2</v>
      </c>
      <c r="H408">
        <v>600</v>
      </c>
      <c r="I408">
        <v>200</v>
      </c>
      <c r="J408">
        <v>35</v>
      </c>
      <c r="K408">
        <f>Claim[[#This Row],[Monto de prima]]-SUM(Claim[[#This Row],[Costo el reclamo]:[Costo de delivery]])</f>
        <v>365</v>
      </c>
      <c r="L408" t="s">
        <v>13</v>
      </c>
      <c r="M408" t="s">
        <v>14</v>
      </c>
    </row>
    <row r="409" spans="2:13" x14ac:dyDescent="0.35">
      <c r="B409">
        <v>405</v>
      </c>
      <c r="C409">
        <v>1371</v>
      </c>
      <c r="D409" s="1">
        <v>41536</v>
      </c>
      <c r="E409" s="1">
        <v>42795</v>
      </c>
      <c r="F409" t="s">
        <v>30</v>
      </c>
      <c r="G409" t="s">
        <v>3</v>
      </c>
      <c r="H409">
        <v>600</v>
      </c>
      <c r="I409">
        <v>200</v>
      </c>
      <c r="J409">
        <v>20</v>
      </c>
      <c r="K409">
        <f>Claim[[#This Row],[Monto de prima]]-SUM(Claim[[#This Row],[Costo el reclamo]:[Costo de delivery]])</f>
        <v>380</v>
      </c>
      <c r="L409" t="s">
        <v>9</v>
      </c>
      <c r="M409" t="s">
        <v>15</v>
      </c>
    </row>
    <row r="410" spans="2:13" x14ac:dyDescent="0.35">
      <c r="B410">
        <v>406</v>
      </c>
      <c r="C410">
        <v>2697</v>
      </c>
      <c r="D410" s="1">
        <v>42859</v>
      </c>
      <c r="E410" s="1">
        <v>43741</v>
      </c>
      <c r="F410" t="s">
        <v>4</v>
      </c>
      <c r="G410" t="s">
        <v>3</v>
      </c>
      <c r="H410">
        <v>1000</v>
      </c>
      <c r="I410">
        <v>550</v>
      </c>
      <c r="J410">
        <v>80</v>
      </c>
      <c r="K410">
        <f>Claim[[#This Row],[Monto de prima]]-SUM(Claim[[#This Row],[Costo el reclamo]:[Costo de delivery]])</f>
        <v>370</v>
      </c>
      <c r="L410" t="s">
        <v>10</v>
      </c>
      <c r="M410" t="s">
        <v>16</v>
      </c>
    </row>
    <row r="411" spans="2:13" x14ac:dyDescent="0.35">
      <c r="B411">
        <v>407</v>
      </c>
      <c r="C411">
        <v>1757</v>
      </c>
      <c r="D411" s="1">
        <v>41633</v>
      </c>
      <c r="E411" s="1">
        <v>42525</v>
      </c>
      <c r="F411" t="s">
        <v>1</v>
      </c>
      <c r="G411" t="s">
        <v>2</v>
      </c>
      <c r="H411">
        <v>250</v>
      </c>
      <c r="I411">
        <v>450</v>
      </c>
      <c r="J411">
        <v>30</v>
      </c>
      <c r="K411">
        <f>Claim[[#This Row],[Monto de prima]]-SUM(Claim[[#This Row],[Costo el reclamo]:[Costo de delivery]])</f>
        <v>-230</v>
      </c>
      <c r="L411" t="s">
        <v>9</v>
      </c>
      <c r="M411" t="s">
        <v>15</v>
      </c>
    </row>
    <row r="412" spans="2:13" x14ac:dyDescent="0.35">
      <c r="B412">
        <v>408</v>
      </c>
      <c r="C412">
        <v>1359</v>
      </c>
      <c r="D412" s="1">
        <v>43121</v>
      </c>
      <c r="E412" s="1">
        <v>43121</v>
      </c>
      <c r="F412" t="s">
        <v>30</v>
      </c>
      <c r="G412" t="s">
        <v>6</v>
      </c>
      <c r="H412">
        <v>600</v>
      </c>
      <c r="I412">
        <v>200</v>
      </c>
      <c r="J412">
        <v>15</v>
      </c>
      <c r="K412">
        <f>Claim[[#This Row],[Monto de prima]]-SUM(Claim[[#This Row],[Costo el reclamo]:[Costo de delivery]])</f>
        <v>385</v>
      </c>
      <c r="L412" t="s">
        <v>13</v>
      </c>
      <c r="M412" t="s">
        <v>14</v>
      </c>
    </row>
    <row r="413" spans="2:13" x14ac:dyDescent="0.35">
      <c r="B413">
        <v>409</v>
      </c>
      <c r="C413">
        <v>4137</v>
      </c>
      <c r="D413" s="1">
        <v>43131</v>
      </c>
      <c r="E413" s="1">
        <v>43131</v>
      </c>
      <c r="F413" t="s">
        <v>4</v>
      </c>
      <c r="G413" t="s">
        <v>6</v>
      </c>
      <c r="H413">
        <v>1000</v>
      </c>
      <c r="I413">
        <v>550</v>
      </c>
      <c r="J413">
        <v>30</v>
      </c>
      <c r="K413">
        <f>Claim[[#This Row],[Monto de prima]]-SUM(Claim[[#This Row],[Costo el reclamo]:[Costo de delivery]])</f>
        <v>420</v>
      </c>
      <c r="L413" t="s">
        <v>13</v>
      </c>
      <c r="M413" t="s">
        <v>14</v>
      </c>
    </row>
    <row r="414" spans="2:13" x14ac:dyDescent="0.35">
      <c r="B414">
        <v>410</v>
      </c>
      <c r="C414">
        <v>4277</v>
      </c>
      <c r="D414" s="1">
        <v>43047</v>
      </c>
      <c r="E414" s="1">
        <v>43254</v>
      </c>
      <c r="F414" t="s">
        <v>1</v>
      </c>
      <c r="G414" t="s">
        <v>5</v>
      </c>
      <c r="H414">
        <v>250</v>
      </c>
      <c r="I414">
        <v>450</v>
      </c>
      <c r="J414">
        <v>100</v>
      </c>
      <c r="K414">
        <f>Claim[[#This Row],[Monto de prima]]-SUM(Claim[[#This Row],[Costo el reclamo]:[Costo de delivery]])</f>
        <v>-300</v>
      </c>
      <c r="L414" t="s">
        <v>7</v>
      </c>
      <c r="M414" t="s">
        <v>16</v>
      </c>
    </row>
    <row r="415" spans="2:13" x14ac:dyDescent="0.35">
      <c r="B415">
        <v>411</v>
      </c>
      <c r="C415">
        <v>4172</v>
      </c>
      <c r="D415" s="1">
        <v>40648</v>
      </c>
      <c r="E415" s="1">
        <v>42839</v>
      </c>
      <c r="F415" t="s">
        <v>1</v>
      </c>
      <c r="G415" t="s">
        <v>3</v>
      </c>
      <c r="H415">
        <v>250</v>
      </c>
      <c r="I415">
        <v>450</v>
      </c>
      <c r="J415">
        <v>80</v>
      </c>
      <c r="K415">
        <f>Claim[[#This Row],[Monto de prima]]-SUM(Claim[[#This Row],[Costo el reclamo]:[Costo de delivery]])</f>
        <v>-280</v>
      </c>
      <c r="L415" t="s">
        <v>13</v>
      </c>
      <c r="M415" t="s">
        <v>14</v>
      </c>
    </row>
    <row r="416" spans="2:13" x14ac:dyDescent="0.35">
      <c r="B416">
        <v>412</v>
      </c>
      <c r="C416">
        <v>2734</v>
      </c>
      <c r="D416" s="1">
        <v>42325</v>
      </c>
      <c r="E416" s="1">
        <v>42325</v>
      </c>
      <c r="F416" t="s">
        <v>30</v>
      </c>
      <c r="G416" t="s">
        <v>2</v>
      </c>
      <c r="H416">
        <v>600</v>
      </c>
      <c r="I416">
        <v>200</v>
      </c>
      <c r="J416">
        <v>35</v>
      </c>
      <c r="K416">
        <f>Claim[[#This Row],[Monto de prima]]-SUM(Claim[[#This Row],[Costo el reclamo]:[Costo de delivery]])</f>
        <v>365</v>
      </c>
      <c r="L416" t="s">
        <v>10</v>
      </c>
      <c r="M416" t="s">
        <v>16</v>
      </c>
    </row>
    <row r="417" spans="2:13" x14ac:dyDescent="0.35">
      <c r="B417">
        <v>413</v>
      </c>
      <c r="C417">
        <v>4054</v>
      </c>
      <c r="D417" s="1">
        <v>42169</v>
      </c>
      <c r="E417" s="1">
        <v>43442</v>
      </c>
      <c r="F417" t="s">
        <v>4</v>
      </c>
      <c r="G417" t="s">
        <v>6</v>
      </c>
      <c r="H417">
        <v>1000</v>
      </c>
      <c r="I417">
        <v>550</v>
      </c>
      <c r="J417">
        <v>30</v>
      </c>
      <c r="K417">
        <f>Claim[[#This Row],[Monto de prima]]-SUM(Claim[[#This Row],[Costo el reclamo]:[Costo de delivery]])</f>
        <v>420</v>
      </c>
      <c r="L417" t="s">
        <v>13</v>
      </c>
      <c r="M417" t="s">
        <v>14</v>
      </c>
    </row>
    <row r="418" spans="2:13" x14ac:dyDescent="0.35">
      <c r="B418">
        <v>414</v>
      </c>
      <c r="C418">
        <v>2270</v>
      </c>
      <c r="D418" s="1">
        <v>42509</v>
      </c>
      <c r="E418" s="1">
        <v>42990</v>
      </c>
      <c r="F418" t="s">
        <v>4</v>
      </c>
      <c r="G418" t="s">
        <v>3</v>
      </c>
      <c r="H418">
        <v>1000</v>
      </c>
      <c r="I418">
        <v>550</v>
      </c>
      <c r="J418">
        <v>80</v>
      </c>
      <c r="K418">
        <f>Claim[[#This Row],[Monto de prima]]-SUM(Claim[[#This Row],[Costo el reclamo]:[Costo de delivery]])</f>
        <v>370</v>
      </c>
      <c r="L418" t="s">
        <v>13</v>
      </c>
      <c r="M418" t="s">
        <v>14</v>
      </c>
    </row>
    <row r="419" spans="2:13" x14ac:dyDescent="0.35">
      <c r="B419">
        <v>415</v>
      </c>
      <c r="C419">
        <v>4484</v>
      </c>
      <c r="D419" s="1">
        <v>42696</v>
      </c>
      <c r="E419" s="1">
        <v>42696</v>
      </c>
      <c r="F419" t="s">
        <v>31</v>
      </c>
      <c r="G419" t="s">
        <v>6</v>
      </c>
      <c r="H419">
        <v>2000</v>
      </c>
      <c r="I419">
        <v>800</v>
      </c>
      <c r="J419">
        <v>20</v>
      </c>
      <c r="K419">
        <f>Claim[[#This Row],[Monto de prima]]-SUM(Claim[[#This Row],[Costo el reclamo]:[Costo de delivery]])</f>
        <v>1180</v>
      </c>
      <c r="L419" t="s">
        <v>12</v>
      </c>
      <c r="M419" t="s">
        <v>19</v>
      </c>
    </row>
    <row r="420" spans="2:13" x14ac:dyDescent="0.35">
      <c r="B420">
        <v>416</v>
      </c>
      <c r="C420">
        <v>3863</v>
      </c>
      <c r="D420" s="1">
        <v>41736</v>
      </c>
      <c r="E420" s="1">
        <v>43548</v>
      </c>
      <c r="F420" t="s">
        <v>31</v>
      </c>
      <c r="G420" t="s">
        <v>2</v>
      </c>
      <c r="H420">
        <v>2000</v>
      </c>
      <c r="I420">
        <v>800</v>
      </c>
      <c r="J420">
        <v>40</v>
      </c>
      <c r="K420">
        <f>Claim[[#This Row],[Monto de prima]]-SUM(Claim[[#This Row],[Costo el reclamo]:[Costo de delivery]])</f>
        <v>1160</v>
      </c>
      <c r="L420" t="s">
        <v>12</v>
      </c>
      <c r="M420" t="s">
        <v>19</v>
      </c>
    </row>
    <row r="421" spans="2:13" x14ac:dyDescent="0.35">
      <c r="B421">
        <v>417</v>
      </c>
      <c r="C421">
        <v>3850</v>
      </c>
      <c r="D421" s="1">
        <v>41016</v>
      </c>
      <c r="E421" s="1">
        <v>41950</v>
      </c>
      <c r="F421" t="s">
        <v>1</v>
      </c>
      <c r="G421" t="s">
        <v>2</v>
      </c>
      <c r="H421">
        <v>250</v>
      </c>
      <c r="I421">
        <v>450</v>
      </c>
      <c r="J421">
        <v>30</v>
      </c>
      <c r="K421">
        <f>Claim[[#This Row],[Monto de prima]]-SUM(Claim[[#This Row],[Costo el reclamo]:[Costo de delivery]])</f>
        <v>-230</v>
      </c>
      <c r="L421" t="s">
        <v>9</v>
      </c>
      <c r="M421" t="s">
        <v>15</v>
      </c>
    </row>
    <row r="422" spans="2:13" x14ac:dyDescent="0.35">
      <c r="B422">
        <v>418</v>
      </c>
      <c r="C422">
        <v>1301</v>
      </c>
      <c r="D422" s="1">
        <v>42751</v>
      </c>
      <c r="E422" s="1">
        <v>43372</v>
      </c>
      <c r="F422" t="s">
        <v>4</v>
      </c>
      <c r="G422" t="s">
        <v>3</v>
      </c>
      <c r="H422">
        <v>1000</v>
      </c>
      <c r="I422">
        <v>550</v>
      </c>
      <c r="J422">
        <v>80</v>
      </c>
      <c r="K422">
        <f>Claim[[#This Row],[Monto de prima]]-SUM(Claim[[#This Row],[Costo el reclamo]:[Costo de delivery]])</f>
        <v>370</v>
      </c>
      <c r="L422" t="s">
        <v>10</v>
      </c>
      <c r="M422" t="s">
        <v>16</v>
      </c>
    </row>
    <row r="423" spans="2:13" x14ac:dyDescent="0.35">
      <c r="B423">
        <v>419</v>
      </c>
      <c r="C423">
        <v>3865</v>
      </c>
      <c r="D423" s="1">
        <v>43121</v>
      </c>
      <c r="E423" s="1">
        <v>43121</v>
      </c>
      <c r="F423" t="s">
        <v>4</v>
      </c>
      <c r="G423" t="s">
        <v>6</v>
      </c>
      <c r="H423">
        <v>1000</v>
      </c>
      <c r="I423">
        <v>550</v>
      </c>
      <c r="J423">
        <v>30</v>
      </c>
      <c r="K423">
        <f>Claim[[#This Row],[Monto de prima]]-SUM(Claim[[#This Row],[Costo el reclamo]:[Costo de delivery]])</f>
        <v>420</v>
      </c>
      <c r="L423" t="s">
        <v>11</v>
      </c>
      <c r="M423" t="s">
        <v>18</v>
      </c>
    </row>
    <row r="424" spans="2:13" x14ac:dyDescent="0.35">
      <c r="B424">
        <v>420</v>
      </c>
      <c r="C424">
        <v>2944</v>
      </c>
      <c r="D424" s="1">
        <v>41535</v>
      </c>
      <c r="E424" s="1">
        <v>43202</v>
      </c>
      <c r="F424" t="s">
        <v>30</v>
      </c>
      <c r="G424" t="s">
        <v>3</v>
      </c>
      <c r="H424">
        <v>600</v>
      </c>
      <c r="I424">
        <v>200</v>
      </c>
      <c r="J424">
        <v>20</v>
      </c>
      <c r="K424">
        <f>Claim[[#This Row],[Monto de prima]]-SUM(Claim[[#This Row],[Costo el reclamo]:[Costo de delivery]])</f>
        <v>380</v>
      </c>
      <c r="L424" t="s">
        <v>9</v>
      </c>
      <c r="M424" t="s">
        <v>15</v>
      </c>
    </row>
    <row r="425" spans="2:13" x14ac:dyDescent="0.35">
      <c r="B425">
        <v>421</v>
      </c>
      <c r="C425">
        <v>1378</v>
      </c>
      <c r="D425" s="1">
        <v>41255</v>
      </c>
      <c r="E425" s="1">
        <v>43619</v>
      </c>
      <c r="F425" t="s">
        <v>30</v>
      </c>
      <c r="G425" t="s">
        <v>3</v>
      </c>
      <c r="H425">
        <v>600</v>
      </c>
      <c r="I425">
        <v>200</v>
      </c>
      <c r="J425">
        <v>20</v>
      </c>
      <c r="K425">
        <f>Claim[[#This Row],[Monto de prima]]-SUM(Claim[[#This Row],[Costo el reclamo]:[Costo de delivery]])</f>
        <v>380</v>
      </c>
      <c r="L425" t="s">
        <v>10</v>
      </c>
      <c r="M425" t="s">
        <v>16</v>
      </c>
    </row>
    <row r="426" spans="2:13" x14ac:dyDescent="0.35">
      <c r="B426">
        <v>422</v>
      </c>
      <c r="C426">
        <v>3229</v>
      </c>
      <c r="D426" s="1">
        <v>40890</v>
      </c>
      <c r="E426" s="1">
        <v>41134</v>
      </c>
      <c r="F426" t="s">
        <v>31</v>
      </c>
      <c r="G426" t="s">
        <v>3</v>
      </c>
      <c r="H426">
        <v>2000</v>
      </c>
      <c r="I426">
        <v>800</v>
      </c>
      <c r="J426">
        <v>30</v>
      </c>
      <c r="K426">
        <f>Claim[[#This Row],[Monto de prima]]-SUM(Claim[[#This Row],[Costo el reclamo]:[Costo de delivery]])</f>
        <v>1170</v>
      </c>
      <c r="L426" t="s">
        <v>11</v>
      </c>
      <c r="M426" t="s">
        <v>18</v>
      </c>
    </row>
    <row r="427" spans="2:13" x14ac:dyDescent="0.35">
      <c r="B427">
        <v>423</v>
      </c>
      <c r="C427">
        <v>3607</v>
      </c>
      <c r="D427" s="1">
        <v>40382</v>
      </c>
      <c r="E427" s="1">
        <v>42954</v>
      </c>
      <c r="F427" t="s">
        <v>4</v>
      </c>
      <c r="G427" t="s">
        <v>3</v>
      </c>
      <c r="H427">
        <v>1000</v>
      </c>
      <c r="I427">
        <v>550</v>
      </c>
      <c r="J427">
        <v>80</v>
      </c>
      <c r="K427">
        <f>Claim[[#This Row],[Monto de prima]]-SUM(Claim[[#This Row],[Costo el reclamo]:[Costo de delivery]])</f>
        <v>370</v>
      </c>
      <c r="L427" t="s">
        <v>7</v>
      </c>
      <c r="M427" t="s">
        <v>16</v>
      </c>
    </row>
    <row r="428" spans="2:13" x14ac:dyDescent="0.35">
      <c r="B428">
        <v>424</v>
      </c>
      <c r="C428">
        <v>1259</v>
      </c>
      <c r="D428" s="1">
        <v>40970</v>
      </c>
      <c r="E428" s="1">
        <v>42445</v>
      </c>
      <c r="F428" t="s">
        <v>31</v>
      </c>
      <c r="G428" t="s">
        <v>6</v>
      </c>
      <c r="H428">
        <v>2000</v>
      </c>
      <c r="I428">
        <v>800</v>
      </c>
      <c r="J428">
        <v>20</v>
      </c>
      <c r="K428">
        <f>Claim[[#This Row],[Monto de prima]]-SUM(Claim[[#This Row],[Costo el reclamo]:[Costo de delivery]])</f>
        <v>1180</v>
      </c>
      <c r="L428" t="s">
        <v>11</v>
      </c>
      <c r="M428" t="s">
        <v>18</v>
      </c>
    </row>
    <row r="429" spans="2:13" x14ac:dyDescent="0.35">
      <c r="B429">
        <v>425</v>
      </c>
      <c r="C429">
        <v>2995</v>
      </c>
      <c r="D429" s="1">
        <v>42798</v>
      </c>
      <c r="E429" s="1">
        <v>43665</v>
      </c>
      <c r="F429" t="s">
        <v>30</v>
      </c>
      <c r="G429" t="s">
        <v>6</v>
      </c>
      <c r="H429">
        <v>600</v>
      </c>
      <c r="I429">
        <v>200</v>
      </c>
      <c r="J429">
        <v>15</v>
      </c>
      <c r="K429">
        <f>Claim[[#This Row],[Monto de prima]]-SUM(Claim[[#This Row],[Costo el reclamo]:[Costo de delivery]])</f>
        <v>385</v>
      </c>
      <c r="L429" t="s">
        <v>11</v>
      </c>
      <c r="M429" t="s">
        <v>18</v>
      </c>
    </row>
    <row r="430" spans="2:13" x14ac:dyDescent="0.35">
      <c r="B430">
        <v>426</v>
      </c>
      <c r="C430">
        <v>4163</v>
      </c>
      <c r="D430" s="1">
        <v>41481</v>
      </c>
      <c r="E430" s="1">
        <v>42941</v>
      </c>
      <c r="F430" t="s">
        <v>31</v>
      </c>
      <c r="G430" t="s">
        <v>3</v>
      </c>
      <c r="H430">
        <v>2000</v>
      </c>
      <c r="I430">
        <v>800</v>
      </c>
      <c r="J430">
        <v>30</v>
      </c>
      <c r="K430">
        <f>Claim[[#This Row],[Monto de prima]]-SUM(Claim[[#This Row],[Costo el reclamo]:[Costo de delivery]])</f>
        <v>1170</v>
      </c>
      <c r="L430" t="s">
        <v>9</v>
      </c>
      <c r="M430" t="s">
        <v>15</v>
      </c>
    </row>
    <row r="431" spans="2:13" x14ac:dyDescent="0.35">
      <c r="B431">
        <v>427</v>
      </c>
      <c r="C431">
        <v>2279</v>
      </c>
      <c r="D431" s="1">
        <v>41833</v>
      </c>
      <c r="E431" s="1">
        <v>43192</v>
      </c>
      <c r="F431" t="s">
        <v>31</v>
      </c>
      <c r="G431" t="s">
        <v>5</v>
      </c>
      <c r="H431">
        <v>2000</v>
      </c>
      <c r="I431">
        <v>800</v>
      </c>
      <c r="J431">
        <v>25</v>
      </c>
      <c r="K431">
        <f>Claim[[#This Row],[Monto de prima]]-SUM(Claim[[#This Row],[Costo el reclamo]:[Costo de delivery]])</f>
        <v>1175</v>
      </c>
      <c r="L431" t="s">
        <v>7</v>
      </c>
      <c r="M431" t="s">
        <v>16</v>
      </c>
    </row>
    <row r="432" spans="2:13" x14ac:dyDescent="0.35">
      <c r="B432">
        <v>428</v>
      </c>
      <c r="C432">
        <v>1306</v>
      </c>
      <c r="D432" s="1">
        <v>43015</v>
      </c>
      <c r="E432" s="1">
        <v>43015</v>
      </c>
      <c r="F432" t="s">
        <v>30</v>
      </c>
      <c r="G432" t="s">
        <v>5</v>
      </c>
      <c r="H432">
        <v>600</v>
      </c>
      <c r="I432">
        <v>200</v>
      </c>
      <c r="J432">
        <v>50</v>
      </c>
      <c r="K432">
        <f>Claim[[#This Row],[Monto de prima]]-SUM(Claim[[#This Row],[Costo el reclamo]:[Costo de delivery]])</f>
        <v>350</v>
      </c>
      <c r="L432" t="s">
        <v>9</v>
      </c>
      <c r="M432" t="s">
        <v>15</v>
      </c>
    </row>
    <row r="433" spans="2:13" x14ac:dyDescent="0.35">
      <c r="B433">
        <v>429</v>
      </c>
      <c r="C433">
        <v>2914</v>
      </c>
      <c r="D433" s="1">
        <v>41995</v>
      </c>
      <c r="E433" s="1">
        <v>42190</v>
      </c>
      <c r="F433" t="s">
        <v>30</v>
      </c>
      <c r="G433" t="s">
        <v>2</v>
      </c>
      <c r="H433">
        <v>600</v>
      </c>
      <c r="I433">
        <v>200</v>
      </c>
      <c r="J433">
        <v>35</v>
      </c>
      <c r="K433">
        <f>Claim[[#This Row],[Monto de prima]]-SUM(Claim[[#This Row],[Costo el reclamo]:[Costo de delivery]])</f>
        <v>365</v>
      </c>
      <c r="L433" t="s">
        <v>12</v>
      </c>
      <c r="M433" t="s">
        <v>19</v>
      </c>
    </row>
    <row r="434" spans="2:13" x14ac:dyDescent="0.35">
      <c r="B434">
        <v>430</v>
      </c>
      <c r="C434">
        <v>2636</v>
      </c>
      <c r="D434" s="1">
        <v>41165</v>
      </c>
      <c r="E434" s="1">
        <v>43796</v>
      </c>
      <c r="F434" t="s">
        <v>4</v>
      </c>
      <c r="G434" t="s">
        <v>3</v>
      </c>
      <c r="H434">
        <v>1000</v>
      </c>
      <c r="I434">
        <v>550</v>
      </c>
      <c r="J434">
        <v>80</v>
      </c>
      <c r="K434">
        <f>Claim[[#This Row],[Monto de prima]]-SUM(Claim[[#This Row],[Costo el reclamo]:[Costo de delivery]])</f>
        <v>370</v>
      </c>
      <c r="L434" t="s">
        <v>9</v>
      </c>
      <c r="M434" t="s">
        <v>15</v>
      </c>
    </row>
    <row r="435" spans="2:13" x14ac:dyDescent="0.35">
      <c r="B435">
        <v>431</v>
      </c>
      <c r="C435">
        <v>3051</v>
      </c>
      <c r="D435" s="1">
        <v>40316</v>
      </c>
      <c r="E435" s="1">
        <v>43460</v>
      </c>
      <c r="F435" t="s">
        <v>31</v>
      </c>
      <c r="G435" t="s">
        <v>6</v>
      </c>
      <c r="H435">
        <v>2000</v>
      </c>
      <c r="I435">
        <v>800</v>
      </c>
      <c r="J435">
        <v>20</v>
      </c>
      <c r="K435">
        <f>Claim[[#This Row],[Monto de prima]]-SUM(Claim[[#This Row],[Costo el reclamo]:[Costo de delivery]])</f>
        <v>1180</v>
      </c>
      <c r="L435" t="s">
        <v>13</v>
      </c>
      <c r="M435" t="s">
        <v>14</v>
      </c>
    </row>
    <row r="436" spans="2:13" x14ac:dyDescent="0.35">
      <c r="B436">
        <v>432</v>
      </c>
      <c r="C436">
        <v>4369</v>
      </c>
      <c r="D436" s="1">
        <v>41821</v>
      </c>
      <c r="E436" s="1">
        <v>41821</v>
      </c>
      <c r="F436" t="s">
        <v>4</v>
      </c>
      <c r="G436" t="s">
        <v>5</v>
      </c>
      <c r="H436">
        <v>1000</v>
      </c>
      <c r="I436">
        <v>550</v>
      </c>
      <c r="J436">
        <v>50</v>
      </c>
      <c r="K436">
        <f>Claim[[#This Row],[Monto de prima]]-SUM(Claim[[#This Row],[Costo el reclamo]:[Costo de delivery]])</f>
        <v>400</v>
      </c>
      <c r="L436" t="s">
        <v>12</v>
      </c>
      <c r="M436" t="s">
        <v>19</v>
      </c>
    </row>
    <row r="437" spans="2:13" x14ac:dyDescent="0.35">
      <c r="B437">
        <v>433</v>
      </c>
      <c r="C437">
        <v>4364</v>
      </c>
      <c r="D437" s="1">
        <v>41212</v>
      </c>
      <c r="E437" s="1">
        <v>41494</v>
      </c>
      <c r="F437" t="s">
        <v>1</v>
      </c>
      <c r="G437" t="s">
        <v>3</v>
      </c>
      <c r="H437">
        <v>250</v>
      </c>
      <c r="I437">
        <v>450</v>
      </c>
      <c r="J437">
        <v>80</v>
      </c>
      <c r="K437">
        <f>Claim[[#This Row],[Monto de prima]]-SUM(Claim[[#This Row],[Costo el reclamo]:[Costo de delivery]])</f>
        <v>-280</v>
      </c>
      <c r="L437" t="s">
        <v>11</v>
      </c>
      <c r="M437" t="s">
        <v>18</v>
      </c>
    </row>
    <row r="438" spans="2:13" x14ac:dyDescent="0.35">
      <c r="B438">
        <v>434</v>
      </c>
      <c r="C438">
        <v>4101</v>
      </c>
      <c r="D438" s="1">
        <v>40266</v>
      </c>
      <c r="E438" s="1">
        <v>43768</v>
      </c>
      <c r="F438" t="s">
        <v>1</v>
      </c>
      <c r="G438" t="s">
        <v>5</v>
      </c>
      <c r="H438">
        <v>250</v>
      </c>
      <c r="I438">
        <v>450</v>
      </c>
      <c r="J438">
        <v>100</v>
      </c>
      <c r="K438">
        <f>Claim[[#This Row],[Monto de prima]]-SUM(Claim[[#This Row],[Costo el reclamo]:[Costo de delivery]])</f>
        <v>-300</v>
      </c>
      <c r="L438" t="s">
        <v>13</v>
      </c>
      <c r="M438" t="s">
        <v>14</v>
      </c>
    </row>
    <row r="439" spans="2:13" x14ac:dyDescent="0.35">
      <c r="B439">
        <v>435</v>
      </c>
      <c r="C439">
        <v>4755</v>
      </c>
      <c r="D439" s="1">
        <v>43005</v>
      </c>
      <c r="E439" s="1">
        <v>43005</v>
      </c>
      <c r="F439" t="s">
        <v>1</v>
      </c>
      <c r="G439" t="s">
        <v>6</v>
      </c>
      <c r="H439">
        <v>250</v>
      </c>
      <c r="I439">
        <v>450</v>
      </c>
      <c r="J439">
        <v>50</v>
      </c>
      <c r="K439">
        <f>Claim[[#This Row],[Monto de prima]]-SUM(Claim[[#This Row],[Costo el reclamo]:[Costo de delivery]])</f>
        <v>-250</v>
      </c>
      <c r="L439" t="s">
        <v>13</v>
      </c>
      <c r="M439" t="s">
        <v>14</v>
      </c>
    </row>
    <row r="440" spans="2:13" x14ac:dyDescent="0.35">
      <c r="B440">
        <v>436</v>
      </c>
      <c r="C440">
        <v>4429</v>
      </c>
      <c r="D440" s="1">
        <v>41607</v>
      </c>
      <c r="E440" s="1">
        <v>42826</v>
      </c>
      <c r="F440" t="s">
        <v>31</v>
      </c>
      <c r="G440" t="s">
        <v>5</v>
      </c>
      <c r="H440">
        <v>2000</v>
      </c>
      <c r="I440">
        <v>800</v>
      </c>
      <c r="J440">
        <v>25</v>
      </c>
      <c r="K440">
        <f>Claim[[#This Row],[Monto de prima]]-SUM(Claim[[#This Row],[Costo el reclamo]:[Costo de delivery]])</f>
        <v>1175</v>
      </c>
      <c r="L440" t="s">
        <v>12</v>
      </c>
      <c r="M440" t="s">
        <v>19</v>
      </c>
    </row>
    <row r="441" spans="2:13" x14ac:dyDescent="0.35">
      <c r="B441">
        <v>437</v>
      </c>
      <c r="C441">
        <v>3531</v>
      </c>
      <c r="D441" s="1">
        <v>42931</v>
      </c>
      <c r="E441" s="1">
        <v>42931</v>
      </c>
      <c r="F441" t="s">
        <v>1</v>
      </c>
      <c r="G441" t="s">
        <v>3</v>
      </c>
      <c r="H441">
        <v>250</v>
      </c>
      <c r="I441">
        <v>450</v>
      </c>
      <c r="J441">
        <v>80</v>
      </c>
      <c r="K441">
        <f>Claim[[#This Row],[Monto de prima]]-SUM(Claim[[#This Row],[Costo el reclamo]:[Costo de delivery]])</f>
        <v>-280</v>
      </c>
      <c r="L441" t="s">
        <v>8</v>
      </c>
      <c r="M441" t="s">
        <v>17</v>
      </c>
    </row>
    <row r="442" spans="2:13" x14ac:dyDescent="0.35">
      <c r="B442">
        <v>438</v>
      </c>
      <c r="C442">
        <v>4958</v>
      </c>
      <c r="D442" s="1">
        <v>42194</v>
      </c>
      <c r="E442" s="1">
        <v>43816</v>
      </c>
      <c r="F442" t="s">
        <v>30</v>
      </c>
      <c r="G442" t="s">
        <v>3</v>
      </c>
      <c r="H442">
        <v>600</v>
      </c>
      <c r="I442">
        <v>200</v>
      </c>
      <c r="J442">
        <v>20</v>
      </c>
      <c r="K442">
        <f>Claim[[#This Row],[Monto de prima]]-SUM(Claim[[#This Row],[Costo el reclamo]:[Costo de delivery]])</f>
        <v>380</v>
      </c>
      <c r="L442" t="s">
        <v>13</v>
      </c>
      <c r="M442" t="s">
        <v>14</v>
      </c>
    </row>
    <row r="443" spans="2:13" x14ac:dyDescent="0.35">
      <c r="B443">
        <v>439</v>
      </c>
      <c r="C443">
        <v>2878</v>
      </c>
      <c r="D443" s="1">
        <v>40458</v>
      </c>
      <c r="E443" s="1">
        <v>42528</v>
      </c>
      <c r="F443" t="s">
        <v>31</v>
      </c>
      <c r="G443" t="s">
        <v>2</v>
      </c>
      <c r="H443">
        <v>2000</v>
      </c>
      <c r="I443">
        <v>800</v>
      </c>
      <c r="J443">
        <v>40</v>
      </c>
      <c r="K443">
        <f>Claim[[#This Row],[Monto de prima]]-SUM(Claim[[#This Row],[Costo el reclamo]:[Costo de delivery]])</f>
        <v>1160</v>
      </c>
      <c r="L443" t="s">
        <v>11</v>
      </c>
      <c r="M443" t="s">
        <v>18</v>
      </c>
    </row>
    <row r="444" spans="2:13" x14ac:dyDescent="0.35">
      <c r="B444">
        <v>440</v>
      </c>
      <c r="C444">
        <v>2253</v>
      </c>
      <c r="D444" s="1">
        <v>40992</v>
      </c>
      <c r="E444" s="1">
        <v>41479</v>
      </c>
      <c r="F444" t="s">
        <v>1</v>
      </c>
      <c r="G444" t="s">
        <v>6</v>
      </c>
      <c r="H444">
        <v>250</v>
      </c>
      <c r="I444">
        <v>450</v>
      </c>
      <c r="J444">
        <v>50</v>
      </c>
      <c r="K444">
        <f>Claim[[#This Row],[Monto de prima]]-SUM(Claim[[#This Row],[Costo el reclamo]:[Costo de delivery]])</f>
        <v>-250</v>
      </c>
      <c r="L444" t="s">
        <v>8</v>
      </c>
      <c r="M444" t="s">
        <v>17</v>
      </c>
    </row>
    <row r="445" spans="2:13" x14ac:dyDescent="0.35">
      <c r="B445">
        <v>441</v>
      </c>
      <c r="C445">
        <v>2504</v>
      </c>
      <c r="D445" s="1">
        <v>42535</v>
      </c>
      <c r="E445" s="1">
        <v>42899</v>
      </c>
      <c r="F445" t="s">
        <v>1</v>
      </c>
      <c r="G445" t="s">
        <v>3</v>
      </c>
      <c r="H445">
        <v>250</v>
      </c>
      <c r="I445">
        <v>450</v>
      </c>
      <c r="J445">
        <v>80</v>
      </c>
      <c r="K445">
        <f>Claim[[#This Row],[Monto de prima]]-SUM(Claim[[#This Row],[Costo el reclamo]:[Costo de delivery]])</f>
        <v>-280</v>
      </c>
      <c r="L445" t="s">
        <v>12</v>
      </c>
      <c r="M445" t="s">
        <v>19</v>
      </c>
    </row>
    <row r="446" spans="2:13" x14ac:dyDescent="0.35">
      <c r="B446">
        <v>442</v>
      </c>
      <c r="C446">
        <v>2510</v>
      </c>
      <c r="D446" s="1">
        <v>40739</v>
      </c>
      <c r="E446" s="1">
        <v>43350</v>
      </c>
      <c r="F446" t="s">
        <v>1</v>
      </c>
      <c r="G446" t="s">
        <v>6</v>
      </c>
      <c r="H446">
        <v>250</v>
      </c>
      <c r="I446">
        <v>450</v>
      </c>
      <c r="J446">
        <v>50</v>
      </c>
      <c r="K446">
        <f>Claim[[#This Row],[Monto de prima]]-SUM(Claim[[#This Row],[Costo el reclamo]:[Costo de delivery]])</f>
        <v>-250</v>
      </c>
      <c r="L446" t="s">
        <v>7</v>
      </c>
      <c r="M446" t="s">
        <v>16</v>
      </c>
    </row>
    <row r="447" spans="2:13" x14ac:dyDescent="0.35">
      <c r="B447">
        <v>443</v>
      </c>
      <c r="C447">
        <v>3808</v>
      </c>
      <c r="D447" s="1">
        <v>40761</v>
      </c>
      <c r="E447" s="1">
        <v>41468</v>
      </c>
      <c r="F447" t="s">
        <v>30</v>
      </c>
      <c r="G447" t="s">
        <v>5</v>
      </c>
      <c r="H447">
        <v>600</v>
      </c>
      <c r="I447">
        <v>200</v>
      </c>
      <c r="J447">
        <v>50</v>
      </c>
      <c r="K447">
        <f>Claim[[#This Row],[Monto de prima]]-SUM(Claim[[#This Row],[Costo el reclamo]:[Costo de delivery]])</f>
        <v>350</v>
      </c>
      <c r="L447" t="s">
        <v>8</v>
      </c>
      <c r="M447" t="s">
        <v>17</v>
      </c>
    </row>
    <row r="448" spans="2:13" x14ac:dyDescent="0.35">
      <c r="B448">
        <v>444</v>
      </c>
      <c r="C448">
        <v>1002</v>
      </c>
      <c r="D448" s="1">
        <v>41918</v>
      </c>
      <c r="E448" s="1">
        <v>42964</v>
      </c>
      <c r="F448" t="s">
        <v>4</v>
      </c>
      <c r="G448" t="s">
        <v>2</v>
      </c>
      <c r="H448">
        <v>1000</v>
      </c>
      <c r="I448">
        <v>550</v>
      </c>
      <c r="J448">
        <v>50</v>
      </c>
      <c r="K448">
        <f>Claim[[#This Row],[Monto de prima]]-SUM(Claim[[#This Row],[Costo el reclamo]:[Costo de delivery]])</f>
        <v>400</v>
      </c>
      <c r="L448" t="s">
        <v>10</v>
      </c>
      <c r="M448" t="s">
        <v>16</v>
      </c>
    </row>
    <row r="449" spans="2:13" x14ac:dyDescent="0.35">
      <c r="B449">
        <v>445</v>
      </c>
      <c r="C449">
        <v>1450</v>
      </c>
      <c r="D449" s="1">
        <v>40358</v>
      </c>
      <c r="E449" s="1">
        <v>42092</v>
      </c>
      <c r="F449" t="s">
        <v>30</v>
      </c>
      <c r="G449" t="s">
        <v>5</v>
      </c>
      <c r="H449">
        <v>600</v>
      </c>
      <c r="I449">
        <v>200</v>
      </c>
      <c r="J449">
        <v>50</v>
      </c>
      <c r="K449">
        <f>Claim[[#This Row],[Monto de prima]]-SUM(Claim[[#This Row],[Costo el reclamo]:[Costo de delivery]])</f>
        <v>350</v>
      </c>
      <c r="L449" t="s">
        <v>12</v>
      </c>
      <c r="M449" t="s">
        <v>19</v>
      </c>
    </row>
    <row r="450" spans="2:13" x14ac:dyDescent="0.35">
      <c r="B450">
        <v>446</v>
      </c>
      <c r="C450">
        <v>2076</v>
      </c>
      <c r="D450" s="1">
        <v>41840</v>
      </c>
      <c r="E450" s="1">
        <v>41840</v>
      </c>
      <c r="F450" t="s">
        <v>31</v>
      </c>
      <c r="G450" t="s">
        <v>5</v>
      </c>
      <c r="H450">
        <v>2000</v>
      </c>
      <c r="I450">
        <v>800</v>
      </c>
      <c r="J450">
        <v>25</v>
      </c>
      <c r="K450">
        <f>Claim[[#This Row],[Monto de prima]]-SUM(Claim[[#This Row],[Costo el reclamo]:[Costo de delivery]])</f>
        <v>1175</v>
      </c>
      <c r="L450" t="s">
        <v>12</v>
      </c>
      <c r="M450" t="s">
        <v>19</v>
      </c>
    </row>
    <row r="451" spans="2:13" x14ac:dyDescent="0.35">
      <c r="B451">
        <v>447</v>
      </c>
      <c r="C451">
        <v>2377</v>
      </c>
      <c r="D451" s="1">
        <v>42801</v>
      </c>
      <c r="E451" s="1">
        <v>42832</v>
      </c>
      <c r="F451" t="s">
        <v>31</v>
      </c>
      <c r="G451" t="s">
        <v>6</v>
      </c>
      <c r="H451">
        <v>2000</v>
      </c>
      <c r="I451">
        <v>800</v>
      </c>
      <c r="J451">
        <v>20</v>
      </c>
      <c r="K451">
        <f>Claim[[#This Row],[Monto de prima]]-SUM(Claim[[#This Row],[Costo el reclamo]:[Costo de delivery]])</f>
        <v>1180</v>
      </c>
      <c r="L451" t="s">
        <v>7</v>
      </c>
      <c r="M451" t="s">
        <v>16</v>
      </c>
    </row>
    <row r="452" spans="2:13" x14ac:dyDescent="0.35">
      <c r="B452">
        <v>448</v>
      </c>
      <c r="C452">
        <v>2359</v>
      </c>
      <c r="D452" s="1">
        <v>42757</v>
      </c>
      <c r="E452" s="1">
        <v>42757</v>
      </c>
      <c r="F452" t="s">
        <v>1</v>
      </c>
      <c r="G452" t="s">
        <v>5</v>
      </c>
      <c r="H452">
        <v>250</v>
      </c>
      <c r="I452">
        <v>450</v>
      </c>
      <c r="J452">
        <v>100</v>
      </c>
      <c r="K452">
        <f>Claim[[#This Row],[Monto de prima]]-SUM(Claim[[#This Row],[Costo el reclamo]:[Costo de delivery]])</f>
        <v>-300</v>
      </c>
      <c r="L452" t="s">
        <v>8</v>
      </c>
      <c r="M452" t="s">
        <v>17</v>
      </c>
    </row>
    <row r="453" spans="2:13" x14ac:dyDescent="0.35">
      <c r="B453">
        <v>449</v>
      </c>
      <c r="C453">
        <v>4175</v>
      </c>
      <c r="D453" s="1">
        <v>43040</v>
      </c>
      <c r="E453" s="1">
        <v>43040</v>
      </c>
      <c r="F453" t="s">
        <v>4</v>
      </c>
      <c r="G453" t="s">
        <v>5</v>
      </c>
      <c r="H453">
        <v>1000</v>
      </c>
      <c r="I453">
        <v>550</v>
      </c>
      <c r="J453">
        <v>50</v>
      </c>
      <c r="K453">
        <f>Claim[[#This Row],[Monto de prima]]-SUM(Claim[[#This Row],[Costo el reclamo]:[Costo de delivery]])</f>
        <v>400</v>
      </c>
      <c r="L453" t="s">
        <v>7</v>
      </c>
      <c r="M453" t="s">
        <v>16</v>
      </c>
    </row>
    <row r="454" spans="2:13" x14ac:dyDescent="0.35">
      <c r="B454">
        <v>450</v>
      </c>
      <c r="C454">
        <v>4627</v>
      </c>
      <c r="D454" s="1">
        <v>42224</v>
      </c>
      <c r="E454" s="1">
        <v>43120</v>
      </c>
      <c r="F454" t="s">
        <v>4</v>
      </c>
      <c r="G454" t="s">
        <v>6</v>
      </c>
      <c r="H454">
        <v>1000</v>
      </c>
      <c r="I454">
        <v>550</v>
      </c>
      <c r="J454">
        <v>30</v>
      </c>
      <c r="K454">
        <f>Claim[[#This Row],[Monto de prima]]-SUM(Claim[[#This Row],[Costo el reclamo]:[Costo de delivery]])</f>
        <v>420</v>
      </c>
      <c r="L454" t="s">
        <v>13</v>
      </c>
      <c r="M454" t="s">
        <v>14</v>
      </c>
    </row>
    <row r="455" spans="2:13" x14ac:dyDescent="0.35">
      <c r="B455">
        <v>451</v>
      </c>
      <c r="C455">
        <v>3689</v>
      </c>
      <c r="D455" s="1">
        <v>41620</v>
      </c>
      <c r="E455" s="1">
        <v>41620</v>
      </c>
      <c r="F455" t="s">
        <v>31</v>
      </c>
      <c r="G455" t="s">
        <v>2</v>
      </c>
      <c r="H455">
        <v>2000</v>
      </c>
      <c r="I455">
        <v>800</v>
      </c>
      <c r="J455">
        <v>40</v>
      </c>
      <c r="K455">
        <f>Claim[[#This Row],[Monto de prima]]-SUM(Claim[[#This Row],[Costo el reclamo]:[Costo de delivery]])</f>
        <v>1160</v>
      </c>
      <c r="L455" t="s">
        <v>8</v>
      </c>
      <c r="M455" t="s">
        <v>17</v>
      </c>
    </row>
    <row r="456" spans="2:13" x14ac:dyDescent="0.35">
      <c r="B456">
        <v>452</v>
      </c>
      <c r="C456">
        <v>1380</v>
      </c>
      <c r="D456" s="1">
        <v>42202</v>
      </c>
      <c r="E456" s="1">
        <v>42202</v>
      </c>
      <c r="F456" t="s">
        <v>31</v>
      </c>
      <c r="G456" t="s">
        <v>5</v>
      </c>
      <c r="H456">
        <v>2000</v>
      </c>
      <c r="I456">
        <v>800</v>
      </c>
      <c r="J456">
        <v>25</v>
      </c>
      <c r="K456">
        <f>Claim[[#This Row],[Monto de prima]]-SUM(Claim[[#This Row],[Costo el reclamo]:[Costo de delivery]])</f>
        <v>1175</v>
      </c>
      <c r="L456" t="s">
        <v>8</v>
      </c>
      <c r="M456" t="s">
        <v>17</v>
      </c>
    </row>
    <row r="457" spans="2:13" x14ac:dyDescent="0.35">
      <c r="B457">
        <v>453</v>
      </c>
      <c r="C457">
        <v>1912</v>
      </c>
      <c r="D457" s="1">
        <v>42335</v>
      </c>
      <c r="E457" s="1">
        <v>42335</v>
      </c>
      <c r="F457" t="s">
        <v>31</v>
      </c>
      <c r="G457" t="s">
        <v>3</v>
      </c>
      <c r="H457">
        <v>2000</v>
      </c>
      <c r="I457">
        <v>800</v>
      </c>
      <c r="J457">
        <v>30</v>
      </c>
      <c r="K457">
        <f>Claim[[#This Row],[Monto de prima]]-SUM(Claim[[#This Row],[Costo el reclamo]:[Costo de delivery]])</f>
        <v>1170</v>
      </c>
      <c r="L457" t="s">
        <v>11</v>
      </c>
      <c r="M457" t="s">
        <v>18</v>
      </c>
    </row>
    <row r="458" spans="2:13" x14ac:dyDescent="0.35">
      <c r="B458">
        <v>454</v>
      </c>
      <c r="C458">
        <v>2191</v>
      </c>
      <c r="D458" s="1">
        <v>40686</v>
      </c>
      <c r="E458" s="1">
        <v>42600</v>
      </c>
      <c r="F458" t="s">
        <v>31</v>
      </c>
      <c r="G458" t="s">
        <v>5</v>
      </c>
      <c r="H458">
        <v>2000</v>
      </c>
      <c r="I458">
        <v>800</v>
      </c>
      <c r="J458">
        <v>25</v>
      </c>
      <c r="K458">
        <f>Claim[[#This Row],[Monto de prima]]-SUM(Claim[[#This Row],[Costo el reclamo]:[Costo de delivery]])</f>
        <v>1175</v>
      </c>
      <c r="L458" t="s">
        <v>13</v>
      </c>
      <c r="M458" t="s">
        <v>14</v>
      </c>
    </row>
    <row r="459" spans="2:13" x14ac:dyDescent="0.35">
      <c r="B459">
        <v>455</v>
      </c>
      <c r="C459">
        <v>3628</v>
      </c>
      <c r="D459" s="1">
        <v>42198</v>
      </c>
      <c r="E459" s="1">
        <v>42811</v>
      </c>
      <c r="F459" t="s">
        <v>4</v>
      </c>
      <c r="G459" t="s">
        <v>6</v>
      </c>
      <c r="H459">
        <v>1000</v>
      </c>
      <c r="I459">
        <v>550</v>
      </c>
      <c r="J459">
        <v>30</v>
      </c>
      <c r="K459">
        <f>Claim[[#This Row],[Monto de prima]]-SUM(Claim[[#This Row],[Costo el reclamo]:[Costo de delivery]])</f>
        <v>420</v>
      </c>
      <c r="L459" t="s">
        <v>9</v>
      </c>
      <c r="M459" t="s">
        <v>15</v>
      </c>
    </row>
    <row r="460" spans="2:13" x14ac:dyDescent="0.35">
      <c r="B460">
        <v>456</v>
      </c>
      <c r="C460">
        <v>3496</v>
      </c>
      <c r="D460" s="1">
        <v>42119</v>
      </c>
      <c r="E460" s="1">
        <v>42332</v>
      </c>
      <c r="F460" t="s">
        <v>31</v>
      </c>
      <c r="G460" t="s">
        <v>2</v>
      </c>
      <c r="H460">
        <v>2000</v>
      </c>
      <c r="I460">
        <v>800</v>
      </c>
      <c r="J460">
        <v>40</v>
      </c>
      <c r="K460">
        <f>Claim[[#This Row],[Monto de prima]]-SUM(Claim[[#This Row],[Costo el reclamo]:[Costo de delivery]])</f>
        <v>1160</v>
      </c>
      <c r="L460" t="s">
        <v>12</v>
      </c>
      <c r="M460" t="s">
        <v>19</v>
      </c>
    </row>
    <row r="461" spans="2:13" x14ac:dyDescent="0.35">
      <c r="B461">
        <v>457</v>
      </c>
      <c r="C461">
        <v>3172</v>
      </c>
      <c r="D461" s="1">
        <v>42665</v>
      </c>
      <c r="E461" s="1">
        <v>43548</v>
      </c>
      <c r="F461" t="s">
        <v>1</v>
      </c>
      <c r="G461" t="s">
        <v>2</v>
      </c>
      <c r="H461">
        <v>250</v>
      </c>
      <c r="I461">
        <v>450</v>
      </c>
      <c r="J461">
        <v>30</v>
      </c>
      <c r="K461">
        <f>Claim[[#This Row],[Monto de prima]]-SUM(Claim[[#This Row],[Costo el reclamo]:[Costo de delivery]])</f>
        <v>-230</v>
      </c>
      <c r="L461" t="s">
        <v>9</v>
      </c>
      <c r="M461" t="s">
        <v>15</v>
      </c>
    </row>
    <row r="462" spans="2:13" x14ac:dyDescent="0.35">
      <c r="B462">
        <v>458</v>
      </c>
      <c r="C462">
        <v>3067</v>
      </c>
      <c r="D462" s="1">
        <v>42220</v>
      </c>
      <c r="E462" s="1">
        <v>43839</v>
      </c>
      <c r="F462" t="s">
        <v>30</v>
      </c>
      <c r="G462" t="s">
        <v>5</v>
      </c>
      <c r="H462">
        <v>600</v>
      </c>
      <c r="I462">
        <v>200</v>
      </c>
      <c r="J462">
        <v>50</v>
      </c>
      <c r="K462">
        <f>Claim[[#This Row],[Monto de prima]]-SUM(Claim[[#This Row],[Costo el reclamo]:[Costo de delivery]])</f>
        <v>350</v>
      </c>
      <c r="L462" t="s">
        <v>13</v>
      </c>
      <c r="M462" t="s">
        <v>14</v>
      </c>
    </row>
    <row r="463" spans="2:13" x14ac:dyDescent="0.35">
      <c r="B463">
        <v>459</v>
      </c>
      <c r="C463">
        <v>2223</v>
      </c>
      <c r="D463" s="1">
        <v>40209</v>
      </c>
      <c r="E463" s="1">
        <v>43331</v>
      </c>
      <c r="F463" t="s">
        <v>30</v>
      </c>
      <c r="G463" t="s">
        <v>3</v>
      </c>
      <c r="H463">
        <v>600</v>
      </c>
      <c r="I463">
        <v>200</v>
      </c>
      <c r="J463">
        <v>20</v>
      </c>
      <c r="K463">
        <f>Claim[[#This Row],[Monto de prima]]-SUM(Claim[[#This Row],[Costo el reclamo]:[Costo de delivery]])</f>
        <v>380</v>
      </c>
      <c r="L463" t="s">
        <v>13</v>
      </c>
      <c r="M463" t="s">
        <v>14</v>
      </c>
    </row>
    <row r="464" spans="2:13" x14ac:dyDescent="0.35">
      <c r="B464">
        <v>460</v>
      </c>
      <c r="C464">
        <v>2730</v>
      </c>
      <c r="D464" s="1">
        <v>41120</v>
      </c>
      <c r="E464" s="1">
        <v>43634</v>
      </c>
      <c r="F464" t="s">
        <v>31</v>
      </c>
      <c r="G464" t="s">
        <v>5</v>
      </c>
      <c r="H464">
        <v>2000</v>
      </c>
      <c r="I464">
        <v>800</v>
      </c>
      <c r="J464">
        <v>25</v>
      </c>
      <c r="K464">
        <f>Claim[[#This Row],[Monto de prima]]-SUM(Claim[[#This Row],[Costo el reclamo]:[Costo de delivery]])</f>
        <v>1175</v>
      </c>
      <c r="L464" t="s">
        <v>11</v>
      </c>
      <c r="M464" t="s">
        <v>18</v>
      </c>
    </row>
    <row r="465" spans="2:13" x14ac:dyDescent="0.35">
      <c r="B465">
        <v>461</v>
      </c>
      <c r="C465">
        <v>1097</v>
      </c>
      <c r="D465" s="1">
        <v>41238</v>
      </c>
      <c r="E465" s="1">
        <v>42892</v>
      </c>
      <c r="F465" t="s">
        <v>30</v>
      </c>
      <c r="G465" t="s">
        <v>2</v>
      </c>
      <c r="H465">
        <v>600</v>
      </c>
      <c r="I465">
        <v>200</v>
      </c>
      <c r="J465">
        <v>35</v>
      </c>
      <c r="K465">
        <f>Claim[[#This Row],[Monto de prima]]-SUM(Claim[[#This Row],[Costo el reclamo]:[Costo de delivery]])</f>
        <v>365</v>
      </c>
      <c r="L465" t="s">
        <v>10</v>
      </c>
      <c r="M465" t="s">
        <v>16</v>
      </c>
    </row>
    <row r="466" spans="2:13" x14ac:dyDescent="0.35">
      <c r="B466">
        <v>462</v>
      </c>
      <c r="C466">
        <v>2988</v>
      </c>
      <c r="D466" s="1">
        <v>40651</v>
      </c>
      <c r="E466" s="1">
        <v>41168</v>
      </c>
      <c r="F466" t="s">
        <v>30</v>
      </c>
      <c r="G466" t="s">
        <v>5</v>
      </c>
      <c r="H466">
        <v>600</v>
      </c>
      <c r="I466">
        <v>200</v>
      </c>
      <c r="J466">
        <v>50</v>
      </c>
      <c r="K466">
        <f>Claim[[#This Row],[Monto de prima]]-SUM(Claim[[#This Row],[Costo el reclamo]:[Costo de delivery]])</f>
        <v>350</v>
      </c>
      <c r="L466" t="s">
        <v>10</v>
      </c>
      <c r="M466" t="s">
        <v>16</v>
      </c>
    </row>
    <row r="467" spans="2:13" x14ac:dyDescent="0.35">
      <c r="B467">
        <v>463</v>
      </c>
      <c r="C467">
        <v>3843</v>
      </c>
      <c r="D467" s="1">
        <v>41374</v>
      </c>
      <c r="E467" s="1">
        <v>41511</v>
      </c>
      <c r="F467" t="s">
        <v>4</v>
      </c>
      <c r="G467" t="s">
        <v>2</v>
      </c>
      <c r="H467">
        <v>1000</v>
      </c>
      <c r="I467">
        <v>550</v>
      </c>
      <c r="J467">
        <v>50</v>
      </c>
      <c r="K467">
        <f>Claim[[#This Row],[Monto de prima]]-SUM(Claim[[#This Row],[Costo el reclamo]:[Costo de delivery]])</f>
        <v>400</v>
      </c>
      <c r="L467" t="s">
        <v>12</v>
      </c>
      <c r="M467" t="s">
        <v>19</v>
      </c>
    </row>
    <row r="468" spans="2:13" x14ac:dyDescent="0.35">
      <c r="B468">
        <v>464</v>
      </c>
      <c r="C468">
        <v>2591</v>
      </c>
      <c r="D468" s="1">
        <v>41961</v>
      </c>
      <c r="E468" s="1">
        <v>41961</v>
      </c>
      <c r="F468" t="s">
        <v>31</v>
      </c>
      <c r="G468" t="s">
        <v>2</v>
      </c>
      <c r="H468">
        <v>2000</v>
      </c>
      <c r="I468">
        <v>800</v>
      </c>
      <c r="J468">
        <v>40</v>
      </c>
      <c r="K468">
        <f>Claim[[#This Row],[Monto de prima]]-SUM(Claim[[#This Row],[Costo el reclamo]:[Costo de delivery]])</f>
        <v>1160</v>
      </c>
      <c r="L468" t="s">
        <v>9</v>
      </c>
      <c r="M468" t="s">
        <v>15</v>
      </c>
    </row>
    <row r="469" spans="2:13" x14ac:dyDescent="0.35">
      <c r="B469">
        <v>465</v>
      </c>
      <c r="C469">
        <v>1745</v>
      </c>
      <c r="D469" s="1">
        <v>40237</v>
      </c>
      <c r="E469" s="1">
        <v>42804</v>
      </c>
      <c r="F469" t="s">
        <v>4</v>
      </c>
      <c r="G469" t="s">
        <v>5</v>
      </c>
      <c r="H469">
        <v>1000</v>
      </c>
      <c r="I469">
        <v>550</v>
      </c>
      <c r="J469">
        <v>50</v>
      </c>
      <c r="K469">
        <f>Claim[[#This Row],[Monto de prima]]-SUM(Claim[[#This Row],[Costo el reclamo]:[Costo de delivery]])</f>
        <v>400</v>
      </c>
      <c r="L469" t="s">
        <v>11</v>
      </c>
      <c r="M469" t="s">
        <v>18</v>
      </c>
    </row>
    <row r="470" spans="2:13" x14ac:dyDescent="0.35">
      <c r="B470">
        <v>466</v>
      </c>
      <c r="C470">
        <v>4721</v>
      </c>
      <c r="D470" s="1">
        <v>40883</v>
      </c>
      <c r="E470" s="1">
        <v>43568</v>
      </c>
      <c r="F470" t="s">
        <v>4</v>
      </c>
      <c r="G470" t="s">
        <v>3</v>
      </c>
      <c r="H470">
        <v>1000</v>
      </c>
      <c r="I470">
        <v>550</v>
      </c>
      <c r="J470">
        <v>80</v>
      </c>
      <c r="K470">
        <f>Claim[[#This Row],[Monto de prima]]-SUM(Claim[[#This Row],[Costo el reclamo]:[Costo de delivery]])</f>
        <v>370</v>
      </c>
      <c r="L470" t="s">
        <v>8</v>
      </c>
      <c r="M470" t="s">
        <v>17</v>
      </c>
    </row>
    <row r="471" spans="2:13" x14ac:dyDescent="0.35">
      <c r="B471">
        <v>467</v>
      </c>
      <c r="C471">
        <v>2155</v>
      </c>
      <c r="D471" s="1">
        <v>43158</v>
      </c>
      <c r="E471" s="1">
        <v>43158</v>
      </c>
      <c r="F471" t="s">
        <v>30</v>
      </c>
      <c r="G471" t="s">
        <v>2</v>
      </c>
      <c r="H471">
        <v>600</v>
      </c>
      <c r="I471">
        <v>200</v>
      </c>
      <c r="J471">
        <v>35</v>
      </c>
      <c r="K471">
        <f>Claim[[#This Row],[Monto de prima]]-SUM(Claim[[#This Row],[Costo el reclamo]:[Costo de delivery]])</f>
        <v>365</v>
      </c>
      <c r="L471" t="s">
        <v>7</v>
      </c>
      <c r="M471" t="s">
        <v>16</v>
      </c>
    </row>
    <row r="472" spans="2:13" x14ac:dyDescent="0.35">
      <c r="B472">
        <v>468</v>
      </c>
      <c r="C472">
        <v>4936</v>
      </c>
      <c r="D472" s="1">
        <v>42774</v>
      </c>
      <c r="E472" s="1">
        <v>43752</v>
      </c>
      <c r="F472" t="s">
        <v>4</v>
      </c>
      <c r="G472" t="s">
        <v>3</v>
      </c>
      <c r="H472">
        <v>1000</v>
      </c>
      <c r="I472">
        <v>550</v>
      </c>
      <c r="J472">
        <v>80</v>
      </c>
      <c r="K472">
        <f>Claim[[#This Row],[Monto de prima]]-SUM(Claim[[#This Row],[Costo el reclamo]:[Costo de delivery]])</f>
        <v>370</v>
      </c>
      <c r="L472" t="s">
        <v>12</v>
      </c>
      <c r="M472" t="s">
        <v>19</v>
      </c>
    </row>
    <row r="473" spans="2:13" x14ac:dyDescent="0.35">
      <c r="B473">
        <v>469</v>
      </c>
      <c r="C473">
        <v>2511</v>
      </c>
      <c r="D473" s="1">
        <v>41000</v>
      </c>
      <c r="E473" s="1">
        <v>41826</v>
      </c>
      <c r="F473" t="s">
        <v>31</v>
      </c>
      <c r="G473" t="s">
        <v>6</v>
      </c>
      <c r="H473">
        <v>2000</v>
      </c>
      <c r="I473">
        <v>800</v>
      </c>
      <c r="J473">
        <v>20</v>
      </c>
      <c r="K473">
        <f>Claim[[#This Row],[Monto de prima]]-SUM(Claim[[#This Row],[Costo el reclamo]:[Costo de delivery]])</f>
        <v>1180</v>
      </c>
      <c r="L473" t="s">
        <v>9</v>
      </c>
      <c r="M473" t="s">
        <v>15</v>
      </c>
    </row>
    <row r="474" spans="2:13" x14ac:dyDescent="0.35">
      <c r="B474">
        <v>470</v>
      </c>
      <c r="C474">
        <v>4816</v>
      </c>
      <c r="D474" s="1">
        <v>42080</v>
      </c>
      <c r="E474" s="1">
        <v>43343</v>
      </c>
      <c r="F474" t="s">
        <v>4</v>
      </c>
      <c r="G474" t="s">
        <v>3</v>
      </c>
      <c r="H474">
        <v>1000</v>
      </c>
      <c r="I474">
        <v>550</v>
      </c>
      <c r="J474">
        <v>80</v>
      </c>
      <c r="K474">
        <f>Claim[[#This Row],[Monto de prima]]-SUM(Claim[[#This Row],[Costo el reclamo]:[Costo de delivery]])</f>
        <v>370</v>
      </c>
      <c r="L474" t="s">
        <v>7</v>
      </c>
      <c r="M474" t="s">
        <v>16</v>
      </c>
    </row>
    <row r="475" spans="2:13" x14ac:dyDescent="0.35">
      <c r="B475">
        <v>471</v>
      </c>
      <c r="C475">
        <v>2007</v>
      </c>
      <c r="D475" s="1">
        <v>41726</v>
      </c>
      <c r="E475" s="1">
        <v>41979</v>
      </c>
      <c r="F475" t="s">
        <v>30</v>
      </c>
      <c r="G475" t="s">
        <v>6</v>
      </c>
      <c r="H475">
        <v>600</v>
      </c>
      <c r="I475">
        <v>200</v>
      </c>
      <c r="J475">
        <v>15</v>
      </c>
      <c r="K475">
        <f>Claim[[#This Row],[Monto de prima]]-SUM(Claim[[#This Row],[Costo el reclamo]:[Costo de delivery]])</f>
        <v>385</v>
      </c>
      <c r="L475" t="s">
        <v>13</v>
      </c>
      <c r="M475" t="s">
        <v>14</v>
      </c>
    </row>
    <row r="476" spans="2:13" x14ac:dyDescent="0.35">
      <c r="B476">
        <v>472</v>
      </c>
      <c r="C476">
        <v>3646</v>
      </c>
      <c r="D476" s="1">
        <v>40246</v>
      </c>
      <c r="E476" s="1">
        <v>43146</v>
      </c>
      <c r="F476" t="s">
        <v>30</v>
      </c>
      <c r="G476" t="s">
        <v>6</v>
      </c>
      <c r="H476">
        <v>600</v>
      </c>
      <c r="I476">
        <v>200</v>
      </c>
      <c r="J476">
        <v>15</v>
      </c>
      <c r="K476">
        <f>Claim[[#This Row],[Monto de prima]]-SUM(Claim[[#This Row],[Costo el reclamo]:[Costo de delivery]])</f>
        <v>385</v>
      </c>
      <c r="L476" t="s">
        <v>13</v>
      </c>
      <c r="M476" t="s">
        <v>14</v>
      </c>
    </row>
    <row r="477" spans="2:13" x14ac:dyDescent="0.35">
      <c r="B477">
        <v>473</v>
      </c>
      <c r="C477">
        <v>2230</v>
      </c>
      <c r="D477" s="1">
        <v>40436</v>
      </c>
      <c r="E477" s="1">
        <v>42141</v>
      </c>
      <c r="F477" t="s">
        <v>31</v>
      </c>
      <c r="G477" t="s">
        <v>6</v>
      </c>
      <c r="H477">
        <v>2000</v>
      </c>
      <c r="I477">
        <v>800</v>
      </c>
      <c r="J477">
        <v>20</v>
      </c>
      <c r="K477">
        <f>Claim[[#This Row],[Monto de prima]]-SUM(Claim[[#This Row],[Costo el reclamo]:[Costo de delivery]])</f>
        <v>1180</v>
      </c>
      <c r="L477" t="s">
        <v>8</v>
      </c>
      <c r="M477" t="s">
        <v>17</v>
      </c>
    </row>
    <row r="478" spans="2:13" x14ac:dyDescent="0.35">
      <c r="B478">
        <v>474</v>
      </c>
      <c r="C478">
        <v>2047</v>
      </c>
      <c r="D478" s="1">
        <v>42175</v>
      </c>
      <c r="E478" s="1">
        <v>43511</v>
      </c>
      <c r="F478" t="s">
        <v>1</v>
      </c>
      <c r="G478" t="s">
        <v>6</v>
      </c>
      <c r="H478">
        <v>250</v>
      </c>
      <c r="I478">
        <v>450</v>
      </c>
      <c r="J478">
        <v>50</v>
      </c>
      <c r="K478">
        <f>Claim[[#This Row],[Monto de prima]]-SUM(Claim[[#This Row],[Costo el reclamo]:[Costo de delivery]])</f>
        <v>-250</v>
      </c>
      <c r="L478" t="s">
        <v>12</v>
      </c>
      <c r="M478" t="s">
        <v>19</v>
      </c>
    </row>
    <row r="479" spans="2:13" x14ac:dyDescent="0.35">
      <c r="B479">
        <v>475</v>
      </c>
      <c r="C479">
        <v>4531</v>
      </c>
      <c r="D479" s="1">
        <v>43005</v>
      </c>
      <c r="E479" s="1">
        <v>43592</v>
      </c>
      <c r="F479" t="s">
        <v>4</v>
      </c>
      <c r="G479" t="s">
        <v>6</v>
      </c>
      <c r="H479">
        <v>1000</v>
      </c>
      <c r="I479">
        <v>550</v>
      </c>
      <c r="J479">
        <v>30</v>
      </c>
      <c r="K479">
        <f>Claim[[#This Row],[Monto de prima]]-SUM(Claim[[#This Row],[Costo el reclamo]:[Costo de delivery]])</f>
        <v>420</v>
      </c>
      <c r="L479" t="s">
        <v>13</v>
      </c>
      <c r="M479" t="s">
        <v>14</v>
      </c>
    </row>
    <row r="480" spans="2:13" x14ac:dyDescent="0.35">
      <c r="B480">
        <v>476</v>
      </c>
      <c r="C480">
        <v>4313</v>
      </c>
      <c r="D480" s="1">
        <v>41673</v>
      </c>
      <c r="E480" s="1">
        <v>43540</v>
      </c>
      <c r="F480" t="s">
        <v>31</v>
      </c>
      <c r="G480" t="s">
        <v>6</v>
      </c>
      <c r="H480">
        <v>2000</v>
      </c>
      <c r="I480">
        <v>800</v>
      </c>
      <c r="J480">
        <v>20</v>
      </c>
      <c r="K480">
        <f>Claim[[#This Row],[Monto de prima]]-SUM(Claim[[#This Row],[Costo el reclamo]:[Costo de delivery]])</f>
        <v>1180</v>
      </c>
      <c r="L480" t="s">
        <v>9</v>
      </c>
      <c r="M480" t="s">
        <v>15</v>
      </c>
    </row>
    <row r="481" spans="2:13" x14ac:dyDescent="0.35">
      <c r="B481">
        <v>477</v>
      </c>
      <c r="C481">
        <v>3636</v>
      </c>
      <c r="D481" s="1">
        <v>41417</v>
      </c>
      <c r="E481" s="1">
        <v>41417</v>
      </c>
      <c r="F481" t="s">
        <v>1</v>
      </c>
      <c r="G481" t="s">
        <v>6</v>
      </c>
      <c r="H481">
        <v>250</v>
      </c>
      <c r="I481">
        <v>450</v>
      </c>
      <c r="J481">
        <v>50</v>
      </c>
      <c r="K481">
        <f>Claim[[#This Row],[Monto de prima]]-SUM(Claim[[#This Row],[Costo el reclamo]:[Costo de delivery]])</f>
        <v>-250</v>
      </c>
      <c r="L481" t="s">
        <v>10</v>
      </c>
      <c r="M481" t="s">
        <v>16</v>
      </c>
    </row>
    <row r="482" spans="2:13" x14ac:dyDescent="0.35">
      <c r="B482">
        <v>478</v>
      </c>
      <c r="C482">
        <v>2177</v>
      </c>
      <c r="D482" s="1">
        <v>40799</v>
      </c>
      <c r="E482" s="1">
        <v>43294</v>
      </c>
      <c r="F482" t="s">
        <v>4</v>
      </c>
      <c r="G482" t="s">
        <v>5</v>
      </c>
      <c r="H482">
        <v>1000</v>
      </c>
      <c r="I482">
        <v>550</v>
      </c>
      <c r="J482">
        <v>50</v>
      </c>
      <c r="K482">
        <f>Claim[[#This Row],[Monto de prima]]-SUM(Claim[[#This Row],[Costo el reclamo]:[Costo de delivery]])</f>
        <v>400</v>
      </c>
      <c r="L482" t="s">
        <v>9</v>
      </c>
      <c r="M482" t="s">
        <v>15</v>
      </c>
    </row>
    <row r="483" spans="2:13" x14ac:dyDescent="0.35">
      <c r="B483">
        <v>479</v>
      </c>
      <c r="C483">
        <v>1877</v>
      </c>
      <c r="D483" s="1">
        <v>42341</v>
      </c>
      <c r="E483" s="1">
        <v>42341</v>
      </c>
      <c r="F483" t="s">
        <v>30</v>
      </c>
      <c r="G483" t="s">
        <v>2</v>
      </c>
      <c r="H483">
        <v>600</v>
      </c>
      <c r="I483">
        <v>200</v>
      </c>
      <c r="J483">
        <v>35</v>
      </c>
      <c r="K483">
        <f>Claim[[#This Row],[Monto de prima]]-SUM(Claim[[#This Row],[Costo el reclamo]:[Costo de delivery]])</f>
        <v>365</v>
      </c>
      <c r="L483" t="s">
        <v>7</v>
      </c>
      <c r="M483" t="s">
        <v>16</v>
      </c>
    </row>
    <row r="484" spans="2:13" x14ac:dyDescent="0.35">
      <c r="B484">
        <v>480</v>
      </c>
      <c r="C484">
        <v>3044</v>
      </c>
      <c r="D484" s="1">
        <v>42757</v>
      </c>
      <c r="E484" s="1">
        <v>42757</v>
      </c>
      <c r="F484" t="s">
        <v>4</v>
      </c>
      <c r="G484" t="s">
        <v>6</v>
      </c>
      <c r="H484">
        <v>1000</v>
      </c>
      <c r="I484">
        <v>550</v>
      </c>
      <c r="J484">
        <v>30</v>
      </c>
      <c r="K484">
        <f>Claim[[#This Row],[Monto de prima]]-SUM(Claim[[#This Row],[Costo el reclamo]:[Costo de delivery]])</f>
        <v>420</v>
      </c>
      <c r="L484" t="s">
        <v>8</v>
      </c>
      <c r="M484" t="s">
        <v>17</v>
      </c>
    </row>
    <row r="485" spans="2:13" x14ac:dyDescent="0.35">
      <c r="B485">
        <v>481</v>
      </c>
      <c r="C485">
        <v>3838</v>
      </c>
      <c r="D485" s="1">
        <v>41335</v>
      </c>
      <c r="E485" s="1">
        <v>41335</v>
      </c>
      <c r="F485" t="s">
        <v>4</v>
      </c>
      <c r="G485" t="s">
        <v>3</v>
      </c>
      <c r="H485">
        <v>1000</v>
      </c>
      <c r="I485">
        <v>550</v>
      </c>
      <c r="J485">
        <v>80</v>
      </c>
      <c r="K485">
        <f>Claim[[#This Row],[Monto de prima]]-SUM(Claim[[#This Row],[Costo el reclamo]:[Costo de delivery]])</f>
        <v>370</v>
      </c>
      <c r="L485" t="s">
        <v>9</v>
      </c>
      <c r="M485" t="s">
        <v>15</v>
      </c>
    </row>
    <row r="486" spans="2:13" x14ac:dyDescent="0.35">
      <c r="B486">
        <v>482</v>
      </c>
      <c r="C486">
        <v>2735</v>
      </c>
      <c r="D486" s="1">
        <v>41686</v>
      </c>
      <c r="E486" s="1">
        <v>41686</v>
      </c>
      <c r="F486" t="s">
        <v>4</v>
      </c>
      <c r="G486" t="s">
        <v>2</v>
      </c>
      <c r="H486">
        <v>1000</v>
      </c>
      <c r="I486">
        <v>550</v>
      </c>
      <c r="J486">
        <v>50</v>
      </c>
      <c r="K486">
        <f>Claim[[#This Row],[Monto de prima]]-SUM(Claim[[#This Row],[Costo el reclamo]:[Costo de delivery]])</f>
        <v>400</v>
      </c>
      <c r="L486" t="s">
        <v>7</v>
      </c>
      <c r="M486" t="s">
        <v>16</v>
      </c>
    </row>
    <row r="487" spans="2:13" x14ac:dyDescent="0.35">
      <c r="B487">
        <v>483</v>
      </c>
      <c r="C487">
        <v>4209</v>
      </c>
      <c r="D487" s="1">
        <v>40625</v>
      </c>
      <c r="E487" s="1">
        <v>42599</v>
      </c>
      <c r="F487" t="s">
        <v>31</v>
      </c>
      <c r="G487" t="s">
        <v>2</v>
      </c>
      <c r="H487">
        <v>2000</v>
      </c>
      <c r="I487">
        <v>800</v>
      </c>
      <c r="J487">
        <v>40</v>
      </c>
      <c r="K487">
        <f>Claim[[#This Row],[Monto de prima]]-SUM(Claim[[#This Row],[Costo el reclamo]:[Costo de delivery]])</f>
        <v>1160</v>
      </c>
      <c r="L487" t="s">
        <v>8</v>
      </c>
      <c r="M487" t="s">
        <v>17</v>
      </c>
    </row>
    <row r="488" spans="2:13" x14ac:dyDescent="0.35">
      <c r="B488">
        <v>484</v>
      </c>
      <c r="C488">
        <v>3052</v>
      </c>
      <c r="D488" s="1">
        <v>41765</v>
      </c>
      <c r="E488" s="1">
        <v>43403</v>
      </c>
      <c r="F488" t="s">
        <v>4</v>
      </c>
      <c r="G488" t="s">
        <v>6</v>
      </c>
      <c r="H488">
        <v>1000</v>
      </c>
      <c r="I488">
        <v>550</v>
      </c>
      <c r="J488">
        <v>30</v>
      </c>
      <c r="K488">
        <f>Claim[[#This Row],[Monto de prima]]-SUM(Claim[[#This Row],[Costo el reclamo]:[Costo de delivery]])</f>
        <v>420</v>
      </c>
      <c r="L488" t="s">
        <v>8</v>
      </c>
      <c r="M488" t="s">
        <v>17</v>
      </c>
    </row>
    <row r="489" spans="2:13" x14ac:dyDescent="0.35">
      <c r="B489">
        <v>485</v>
      </c>
      <c r="C489">
        <v>4096</v>
      </c>
      <c r="D489" s="1">
        <v>41075</v>
      </c>
      <c r="E489" s="1">
        <v>41386</v>
      </c>
      <c r="F489" t="s">
        <v>1</v>
      </c>
      <c r="G489" t="s">
        <v>2</v>
      </c>
      <c r="H489">
        <v>250</v>
      </c>
      <c r="I489">
        <v>450</v>
      </c>
      <c r="J489">
        <v>30</v>
      </c>
      <c r="K489">
        <f>Claim[[#This Row],[Monto de prima]]-SUM(Claim[[#This Row],[Costo el reclamo]:[Costo de delivery]])</f>
        <v>-230</v>
      </c>
      <c r="L489" t="s">
        <v>11</v>
      </c>
      <c r="M489" t="s">
        <v>18</v>
      </c>
    </row>
    <row r="490" spans="2:13" x14ac:dyDescent="0.35">
      <c r="B490">
        <v>486</v>
      </c>
      <c r="C490">
        <v>1692</v>
      </c>
      <c r="D490" s="1">
        <v>40563</v>
      </c>
      <c r="E490" s="1">
        <v>42047</v>
      </c>
      <c r="F490" t="s">
        <v>1</v>
      </c>
      <c r="G490" t="s">
        <v>5</v>
      </c>
      <c r="H490">
        <v>250</v>
      </c>
      <c r="I490">
        <v>450</v>
      </c>
      <c r="J490">
        <v>100</v>
      </c>
      <c r="K490">
        <f>Claim[[#This Row],[Monto de prima]]-SUM(Claim[[#This Row],[Costo el reclamo]:[Costo de delivery]])</f>
        <v>-300</v>
      </c>
      <c r="L490" t="s">
        <v>13</v>
      </c>
      <c r="M490" t="s">
        <v>14</v>
      </c>
    </row>
    <row r="491" spans="2:13" x14ac:dyDescent="0.35">
      <c r="B491">
        <v>487</v>
      </c>
      <c r="C491">
        <v>3893</v>
      </c>
      <c r="D491" s="1">
        <v>41486</v>
      </c>
      <c r="E491" s="1">
        <v>41969</v>
      </c>
      <c r="F491" t="s">
        <v>31</v>
      </c>
      <c r="G491" t="s">
        <v>5</v>
      </c>
      <c r="H491">
        <v>2000</v>
      </c>
      <c r="I491">
        <v>800</v>
      </c>
      <c r="J491">
        <v>25</v>
      </c>
      <c r="K491">
        <f>Claim[[#This Row],[Monto de prima]]-SUM(Claim[[#This Row],[Costo el reclamo]:[Costo de delivery]])</f>
        <v>1175</v>
      </c>
      <c r="L491" t="s">
        <v>8</v>
      </c>
      <c r="M491" t="s">
        <v>17</v>
      </c>
    </row>
    <row r="492" spans="2:13" x14ac:dyDescent="0.35">
      <c r="B492">
        <v>488</v>
      </c>
      <c r="C492">
        <v>1831</v>
      </c>
      <c r="D492" s="1">
        <v>42026</v>
      </c>
      <c r="E492" s="1">
        <v>42026</v>
      </c>
      <c r="F492" t="s">
        <v>4</v>
      </c>
      <c r="G492" t="s">
        <v>6</v>
      </c>
      <c r="H492">
        <v>1000</v>
      </c>
      <c r="I492">
        <v>550</v>
      </c>
      <c r="J492">
        <v>30</v>
      </c>
      <c r="K492">
        <f>Claim[[#This Row],[Monto de prima]]-SUM(Claim[[#This Row],[Costo el reclamo]:[Costo de delivery]])</f>
        <v>420</v>
      </c>
      <c r="L492" t="s">
        <v>7</v>
      </c>
      <c r="M492" t="s">
        <v>16</v>
      </c>
    </row>
    <row r="493" spans="2:13" x14ac:dyDescent="0.35">
      <c r="B493">
        <v>489</v>
      </c>
      <c r="C493">
        <v>4068</v>
      </c>
      <c r="D493" s="1">
        <v>40808</v>
      </c>
      <c r="E493" s="1">
        <v>43843</v>
      </c>
      <c r="F493" t="s">
        <v>1</v>
      </c>
      <c r="G493" t="s">
        <v>5</v>
      </c>
      <c r="H493">
        <v>250</v>
      </c>
      <c r="I493">
        <v>450</v>
      </c>
      <c r="J493">
        <v>100</v>
      </c>
      <c r="K493">
        <f>Claim[[#This Row],[Monto de prima]]-SUM(Claim[[#This Row],[Costo el reclamo]:[Costo de delivery]])</f>
        <v>-300</v>
      </c>
      <c r="L493" t="s">
        <v>9</v>
      </c>
      <c r="M493" t="s">
        <v>15</v>
      </c>
    </row>
    <row r="494" spans="2:13" x14ac:dyDescent="0.35">
      <c r="B494">
        <v>490</v>
      </c>
      <c r="C494">
        <v>1512</v>
      </c>
      <c r="D494" s="1">
        <v>40614</v>
      </c>
      <c r="E494" s="1">
        <v>42634</v>
      </c>
      <c r="F494" t="s">
        <v>31</v>
      </c>
      <c r="G494" t="s">
        <v>6</v>
      </c>
      <c r="H494">
        <v>2000</v>
      </c>
      <c r="I494">
        <v>800</v>
      </c>
      <c r="J494">
        <v>20</v>
      </c>
      <c r="K494">
        <f>Claim[[#This Row],[Monto de prima]]-SUM(Claim[[#This Row],[Costo el reclamo]:[Costo de delivery]])</f>
        <v>1180</v>
      </c>
      <c r="L494" t="s">
        <v>7</v>
      </c>
      <c r="M494" t="s">
        <v>16</v>
      </c>
    </row>
    <row r="495" spans="2:13" x14ac:dyDescent="0.35">
      <c r="B495">
        <v>491</v>
      </c>
      <c r="C495">
        <v>1510</v>
      </c>
      <c r="D495" s="1">
        <v>41595</v>
      </c>
      <c r="E495" s="1">
        <v>41875</v>
      </c>
      <c r="F495" t="s">
        <v>4</v>
      </c>
      <c r="G495" t="s">
        <v>5</v>
      </c>
      <c r="H495">
        <v>1000</v>
      </c>
      <c r="I495">
        <v>550</v>
      </c>
      <c r="J495">
        <v>50</v>
      </c>
      <c r="K495">
        <f>Claim[[#This Row],[Monto de prima]]-SUM(Claim[[#This Row],[Costo el reclamo]:[Costo de delivery]])</f>
        <v>400</v>
      </c>
      <c r="L495" t="s">
        <v>10</v>
      </c>
      <c r="M495" t="s">
        <v>16</v>
      </c>
    </row>
    <row r="496" spans="2:13" x14ac:dyDescent="0.35">
      <c r="B496">
        <v>492</v>
      </c>
      <c r="C496">
        <v>2080</v>
      </c>
      <c r="D496" s="1">
        <v>40959</v>
      </c>
      <c r="E496" s="1">
        <v>41146</v>
      </c>
      <c r="F496" t="s">
        <v>1</v>
      </c>
      <c r="G496" t="s">
        <v>5</v>
      </c>
      <c r="H496">
        <v>250</v>
      </c>
      <c r="I496">
        <v>450</v>
      </c>
      <c r="J496">
        <v>100</v>
      </c>
      <c r="K496">
        <f>Claim[[#This Row],[Monto de prima]]-SUM(Claim[[#This Row],[Costo el reclamo]:[Costo de delivery]])</f>
        <v>-300</v>
      </c>
      <c r="L496" t="s">
        <v>13</v>
      </c>
      <c r="M496" t="s">
        <v>14</v>
      </c>
    </row>
    <row r="497" spans="2:13" x14ac:dyDescent="0.35">
      <c r="B497">
        <v>493</v>
      </c>
      <c r="C497">
        <v>4540</v>
      </c>
      <c r="D497" s="1">
        <v>41043</v>
      </c>
      <c r="E497" s="1">
        <v>43014</v>
      </c>
      <c r="F497" t="s">
        <v>4</v>
      </c>
      <c r="G497" t="s">
        <v>3</v>
      </c>
      <c r="H497">
        <v>1000</v>
      </c>
      <c r="I497">
        <v>550</v>
      </c>
      <c r="J497">
        <v>80</v>
      </c>
      <c r="K497">
        <f>Claim[[#This Row],[Monto de prima]]-SUM(Claim[[#This Row],[Costo el reclamo]:[Costo de delivery]])</f>
        <v>370</v>
      </c>
      <c r="L497" t="s">
        <v>12</v>
      </c>
      <c r="M497" t="s">
        <v>19</v>
      </c>
    </row>
    <row r="498" spans="2:13" x14ac:dyDescent="0.35">
      <c r="B498">
        <v>494</v>
      </c>
      <c r="C498">
        <v>3228</v>
      </c>
      <c r="D498" s="1">
        <v>40877</v>
      </c>
      <c r="E498" s="1">
        <v>43526</v>
      </c>
      <c r="F498" t="s">
        <v>4</v>
      </c>
      <c r="G498" t="s">
        <v>5</v>
      </c>
      <c r="H498">
        <v>1000</v>
      </c>
      <c r="I498">
        <v>550</v>
      </c>
      <c r="J498">
        <v>50</v>
      </c>
      <c r="K498">
        <f>Claim[[#This Row],[Monto de prima]]-SUM(Claim[[#This Row],[Costo el reclamo]:[Costo de delivery]])</f>
        <v>400</v>
      </c>
      <c r="L498" t="s">
        <v>8</v>
      </c>
      <c r="M498" t="s">
        <v>17</v>
      </c>
    </row>
    <row r="499" spans="2:13" x14ac:dyDescent="0.35">
      <c r="B499">
        <v>495</v>
      </c>
      <c r="C499">
        <v>2093</v>
      </c>
      <c r="D499" s="1">
        <v>42849</v>
      </c>
      <c r="E499" s="1">
        <v>42849</v>
      </c>
      <c r="F499" t="s">
        <v>30</v>
      </c>
      <c r="G499" t="s">
        <v>2</v>
      </c>
      <c r="H499">
        <v>600</v>
      </c>
      <c r="I499">
        <v>200</v>
      </c>
      <c r="J499">
        <v>35</v>
      </c>
      <c r="K499">
        <f>Claim[[#This Row],[Monto de prima]]-SUM(Claim[[#This Row],[Costo el reclamo]:[Costo de delivery]])</f>
        <v>365</v>
      </c>
      <c r="L499" t="s">
        <v>12</v>
      </c>
      <c r="M499" t="s">
        <v>19</v>
      </c>
    </row>
    <row r="500" spans="2:13" x14ac:dyDescent="0.35">
      <c r="B500">
        <v>496</v>
      </c>
      <c r="C500">
        <v>3561</v>
      </c>
      <c r="D500" s="1">
        <v>42417</v>
      </c>
      <c r="E500" s="1">
        <v>43812</v>
      </c>
      <c r="F500" t="s">
        <v>30</v>
      </c>
      <c r="G500" t="s">
        <v>2</v>
      </c>
      <c r="H500">
        <v>600</v>
      </c>
      <c r="I500">
        <v>200</v>
      </c>
      <c r="J500">
        <v>35</v>
      </c>
      <c r="K500">
        <f>Claim[[#This Row],[Monto de prima]]-SUM(Claim[[#This Row],[Costo el reclamo]:[Costo de delivery]])</f>
        <v>365</v>
      </c>
      <c r="L500" t="s">
        <v>10</v>
      </c>
      <c r="M500" t="s">
        <v>16</v>
      </c>
    </row>
    <row r="501" spans="2:13" x14ac:dyDescent="0.35">
      <c r="B501">
        <v>497</v>
      </c>
      <c r="C501">
        <v>2478</v>
      </c>
      <c r="D501" s="1">
        <v>41494</v>
      </c>
      <c r="E501" s="1">
        <v>42247</v>
      </c>
      <c r="F501" t="s">
        <v>30</v>
      </c>
      <c r="G501" t="s">
        <v>5</v>
      </c>
      <c r="H501">
        <v>600</v>
      </c>
      <c r="I501">
        <v>200</v>
      </c>
      <c r="J501">
        <v>50</v>
      </c>
      <c r="K501">
        <f>Claim[[#This Row],[Monto de prima]]-SUM(Claim[[#This Row],[Costo el reclamo]:[Costo de delivery]])</f>
        <v>350</v>
      </c>
      <c r="L501" t="s">
        <v>11</v>
      </c>
      <c r="M501" t="s">
        <v>18</v>
      </c>
    </row>
    <row r="502" spans="2:13" x14ac:dyDescent="0.35">
      <c r="B502">
        <v>498</v>
      </c>
      <c r="C502">
        <v>3869</v>
      </c>
      <c r="D502" s="1">
        <v>42857</v>
      </c>
      <c r="E502" s="1">
        <v>43781</v>
      </c>
      <c r="F502" t="s">
        <v>4</v>
      </c>
      <c r="G502" t="s">
        <v>3</v>
      </c>
      <c r="H502">
        <v>1000</v>
      </c>
      <c r="I502">
        <v>550</v>
      </c>
      <c r="J502">
        <v>80</v>
      </c>
      <c r="K502">
        <f>Claim[[#This Row],[Monto de prima]]-SUM(Claim[[#This Row],[Costo el reclamo]:[Costo de delivery]])</f>
        <v>370</v>
      </c>
      <c r="L502" t="s">
        <v>9</v>
      </c>
      <c r="M502" t="s">
        <v>15</v>
      </c>
    </row>
    <row r="503" spans="2:13" x14ac:dyDescent="0.35">
      <c r="B503">
        <v>499</v>
      </c>
      <c r="C503">
        <v>3527</v>
      </c>
      <c r="D503" s="1">
        <v>40901</v>
      </c>
      <c r="E503" s="1">
        <v>43104</v>
      </c>
      <c r="F503" t="s">
        <v>4</v>
      </c>
      <c r="G503" t="s">
        <v>6</v>
      </c>
      <c r="H503">
        <v>1000</v>
      </c>
      <c r="I503">
        <v>550</v>
      </c>
      <c r="J503">
        <v>30</v>
      </c>
      <c r="K503">
        <f>Claim[[#This Row],[Monto de prima]]-SUM(Claim[[#This Row],[Costo el reclamo]:[Costo de delivery]])</f>
        <v>420</v>
      </c>
      <c r="L503" t="s">
        <v>9</v>
      </c>
      <c r="M503" t="s">
        <v>15</v>
      </c>
    </row>
    <row r="504" spans="2:13" x14ac:dyDescent="0.35">
      <c r="B504">
        <v>500</v>
      </c>
      <c r="C504">
        <v>2626</v>
      </c>
      <c r="D504" s="1">
        <v>42719</v>
      </c>
      <c r="E504" s="1">
        <v>42719</v>
      </c>
      <c r="F504" t="s">
        <v>4</v>
      </c>
      <c r="G504" t="s">
        <v>2</v>
      </c>
      <c r="H504">
        <v>1000</v>
      </c>
      <c r="I504">
        <v>550</v>
      </c>
      <c r="J504">
        <v>50</v>
      </c>
      <c r="K504">
        <f>Claim[[#This Row],[Monto de prima]]-SUM(Claim[[#This Row],[Costo el reclamo]:[Costo de delivery]])</f>
        <v>400</v>
      </c>
      <c r="L504" t="s">
        <v>13</v>
      </c>
      <c r="M504" t="s">
        <v>14</v>
      </c>
    </row>
    <row r="505" spans="2:13" x14ac:dyDescent="0.35">
      <c r="B505">
        <v>501</v>
      </c>
      <c r="C505">
        <v>4230</v>
      </c>
      <c r="D505" s="1">
        <v>42566</v>
      </c>
      <c r="E505" s="1">
        <v>43836</v>
      </c>
      <c r="F505" t="s">
        <v>1</v>
      </c>
      <c r="G505" t="s">
        <v>6</v>
      </c>
      <c r="H505">
        <v>250</v>
      </c>
      <c r="I505">
        <v>450</v>
      </c>
      <c r="J505">
        <v>50</v>
      </c>
      <c r="K505">
        <f>Claim[[#This Row],[Monto de prima]]-SUM(Claim[[#This Row],[Costo el reclamo]:[Costo de delivery]])</f>
        <v>-250</v>
      </c>
      <c r="L505" t="s">
        <v>10</v>
      </c>
      <c r="M505" t="s">
        <v>16</v>
      </c>
    </row>
    <row r="506" spans="2:13" x14ac:dyDescent="0.35">
      <c r="B506">
        <v>502</v>
      </c>
      <c r="C506">
        <v>2261</v>
      </c>
      <c r="D506" s="1">
        <v>40280</v>
      </c>
      <c r="E506" s="1">
        <v>42044</v>
      </c>
      <c r="F506" t="s">
        <v>4</v>
      </c>
      <c r="G506" t="s">
        <v>6</v>
      </c>
      <c r="H506">
        <v>1000</v>
      </c>
      <c r="I506">
        <v>550</v>
      </c>
      <c r="J506">
        <v>30</v>
      </c>
      <c r="K506">
        <f>Claim[[#This Row],[Monto de prima]]-SUM(Claim[[#This Row],[Costo el reclamo]:[Costo de delivery]])</f>
        <v>420</v>
      </c>
      <c r="L506" t="s">
        <v>7</v>
      </c>
      <c r="M506" t="s">
        <v>16</v>
      </c>
    </row>
    <row r="507" spans="2:13" x14ac:dyDescent="0.35">
      <c r="B507">
        <v>503</v>
      </c>
      <c r="C507">
        <v>4102</v>
      </c>
      <c r="D507" s="1">
        <v>41294</v>
      </c>
      <c r="E507" s="1">
        <v>42541</v>
      </c>
      <c r="F507" t="s">
        <v>1</v>
      </c>
      <c r="G507" t="s">
        <v>6</v>
      </c>
      <c r="H507">
        <v>250</v>
      </c>
      <c r="I507">
        <v>450</v>
      </c>
      <c r="J507">
        <v>50</v>
      </c>
      <c r="K507">
        <f>Claim[[#This Row],[Monto de prima]]-SUM(Claim[[#This Row],[Costo el reclamo]:[Costo de delivery]])</f>
        <v>-250</v>
      </c>
      <c r="L507" t="s">
        <v>7</v>
      </c>
      <c r="M507" t="s">
        <v>16</v>
      </c>
    </row>
    <row r="508" spans="2:13" x14ac:dyDescent="0.35">
      <c r="B508">
        <v>504</v>
      </c>
      <c r="C508">
        <v>3575</v>
      </c>
      <c r="D508" s="1">
        <v>42751</v>
      </c>
      <c r="E508" s="1">
        <v>43092</v>
      </c>
      <c r="F508" t="s">
        <v>31</v>
      </c>
      <c r="G508" t="s">
        <v>3</v>
      </c>
      <c r="H508">
        <v>2000</v>
      </c>
      <c r="I508">
        <v>800</v>
      </c>
      <c r="J508">
        <v>30</v>
      </c>
      <c r="K508">
        <f>Claim[[#This Row],[Monto de prima]]-SUM(Claim[[#This Row],[Costo el reclamo]:[Costo de delivery]])</f>
        <v>1170</v>
      </c>
      <c r="L508" t="s">
        <v>7</v>
      </c>
      <c r="M508" t="s">
        <v>16</v>
      </c>
    </row>
    <row r="509" spans="2:13" x14ac:dyDescent="0.35">
      <c r="B509">
        <v>505</v>
      </c>
      <c r="C509">
        <v>1286</v>
      </c>
      <c r="D509" s="1">
        <v>40544</v>
      </c>
      <c r="E509" s="1">
        <v>41545</v>
      </c>
      <c r="F509" t="s">
        <v>1</v>
      </c>
      <c r="G509" t="s">
        <v>5</v>
      </c>
      <c r="H509">
        <v>250</v>
      </c>
      <c r="I509">
        <v>450</v>
      </c>
      <c r="J509">
        <v>100</v>
      </c>
      <c r="K509">
        <f>Claim[[#This Row],[Monto de prima]]-SUM(Claim[[#This Row],[Costo el reclamo]:[Costo de delivery]])</f>
        <v>-300</v>
      </c>
      <c r="L509" t="s">
        <v>8</v>
      </c>
      <c r="M509" t="s">
        <v>17</v>
      </c>
    </row>
    <row r="510" spans="2:13" x14ac:dyDescent="0.35">
      <c r="B510">
        <v>506</v>
      </c>
      <c r="C510">
        <v>4211</v>
      </c>
      <c r="D510" s="1">
        <v>42292</v>
      </c>
      <c r="E510" s="1">
        <v>42623</v>
      </c>
      <c r="F510" t="s">
        <v>31</v>
      </c>
      <c r="G510" t="s">
        <v>2</v>
      </c>
      <c r="H510">
        <v>2000</v>
      </c>
      <c r="I510">
        <v>800</v>
      </c>
      <c r="J510">
        <v>40</v>
      </c>
      <c r="K510">
        <f>Claim[[#This Row],[Monto de prima]]-SUM(Claim[[#This Row],[Costo el reclamo]:[Costo de delivery]])</f>
        <v>1160</v>
      </c>
      <c r="L510" t="s">
        <v>8</v>
      </c>
      <c r="M510" t="s">
        <v>17</v>
      </c>
    </row>
    <row r="511" spans="2:13" x14ac:dyDescent="0.35">
      <c r="B511">
        <v>507</v>
      </c>
      <c r="C511">
        <v>1273</v>
      </c>
      <c r="D511" s="1">
        <v>42423</v>
      </c>
      <c r="E511" s="1">
        <v>42423</v>
      </c>
      <c r="F511" t="s">
        <v>31</v>
      </c>
      <c r="G511" t="s">
        <v>2</v>
      </c>
      <c r="H511">
        <v>2000</v>
      </c>
      <c r="I511">
        <v>800</v>
      </c>
      <c r="J511">
        <v>40</v>
      </c>
      <c r="K511">
        <f>Claim[[#This Row],[Monto de prima]]-SUM(Claim[[#This Row],[Costo el reclamo]:[Costo de delivery]])</f>
        <v>1160</v>
      </c>
      <c r="L511" t="s">
        <v>11</v>
      </c>
      <c r="M511" t="s">
        <v>18</v>
      </c>
    </row>
    <row r="512" spans="2:13" x14ac:dyDescent="0.35">
      <c r="B512">
        <v>508</v>
      </c>
      <c r="C512">
        <v>3666</v>
      </c>
      <c r="D512" s="1">
        <v>40978</v>
      </c>
      <c r="E512" s="1">
        <v>43855</v>
      </c>
      <c r="F512" t="s">
        <v>1</v>
      </c>
      <c r="G512" t="s">
        <v>3</v>
      </c>
      <c r="H512">
        <v>250</v>
      </c>
      <c r="I512">
        <v>450</v>
      </c>
      <c r="J512">
        <v>80</v>
      </c>
      <c r="K512">
        <f>Claim[[#This Row],[Monto de prima]]-SUM(Claim[[#This Row],[Costo el reclamo]:[Costo de delivery]])</f>
        <v>-280</v>
      </c>
      <c r="L512" t="s">
        <v>13</v>
      </c>
      <c r="M512" t="s">
        <v>14</v>
      </c>
    </row>
    <row r="513" spans="2:13" x14ac:dyDescent="0.35">
      <c r="B513">
        <v>509</v>
      </c>
      <c r="C513">
        <v>2828</v>
      </c>
      <c r="D513" s="1">
        <v>41361</v>
      </c>
      <c r="E513" s="1">
        <v>41361</v>
      </c>
      <c r="F513" t="s">
        <v>31</v>
      </c>
      <c r="G513" t="s">
        <v>3</v>
      </c>
      <c r="H513">
        <v>2000</v>
      </c>
      <c r="I513">
        <v>800</v>
      </c>
      <c r="J513">
        <v>30</v>
      </c>
      <c r="K513">
        <f>Claim[[#This Row],[Monto de prima]]-SUM(Claim[[#This Row],[Costo el reclamo]:[Costo de delivery]])</f>
        <v>1170</v>
      </c>
      <c r="L513" t="s">
        <v>10</v>
      </c>
      <c r="M513" t="s">
        <v>16</v>
      </c>
    </row>
    <row r="514" spans="2:13" x14ac:dyDescent="0.35">
      <c r="B514">
        <v>510</v>
      </c>
      <c r="C514">
        <v>1963</v>
      </c>
      <c r="D514" s="1">
        <v>42165</v>
      </c>
      <c r="E514" s="1">
        <v>42165</v>
      </c>
      <c r="F514" t="s">
        <v>30</v>
      </c>
      <c r="G514" t="s">
        <v>5</v>
      </c>
      <c r="H514">
        <v>600</v>
      </c>
      <c r="I514">
        <v>200</v>
      </c>
      <c r="J514">
        <v>50</v>
      </c>
      <c r="K514">
        <f>Claim[[#This Row],[Monto de prima]]-SUM(Claim[[#This Row],[Costo el reclamo]:[Costo de delivery]])</f>
        <v>350</v>
      </c>
      <c r="L514" t="s">
        <v>11</v>
      </c>
      <c r="M514" t="s">
        <v>18</v>
      </c>
    </row>
    <row r="515" spans="2:13" x14ac:dyDescent="0.35">
      <c r="B515">
        <v>511</v>
      </c>
      <c r="C515">
        <v>2131</v>
      </c>
      <c r="D515" s="1">
        <v>40528</v>
      </c>
      <c r="E515" s="1">
        <v>43526</v>
      </c>
      <c r="F515" t="s">
        <v>4</v>
      </c>
      <c r="G515" t="s">
        <v>5</v>
      </c>
      <c r="H515">
        <v>1000</v>
      </c>
      <c r="I515">
        <v>550</v>
      </c>
      <c r="J515">
        <v>50</v>
      </c>
      <c r="K515">
        <f>Claim[[#This Row],[Monto de prima]]-SUM(Claim[[#This Row],[Costo el reclamo]:[Costo de delivery]])</f>
        <v>400</v>
      </c>
      <c r="L515" t="s">
        <v>10</v>
      </c>
      <c r="M515" t="s">
        <v>16</v>
      </c>
    </row>
    <row r="516" spans="2:13" x14ac:dyDescent="0.35">
      <c r="B516">
        <v>512</v>
      </c>
      <c r="C516">
        <v>4921</v>
      </c>
      <c r="D516" s="1">
        <v>41132</v>
      </c>
      <c r="E516" s="1">
        <v>42388</v>
      </c>
      <c r="F516" t="s">
        <v>1</v>
      </c>
      <c r="G516" t="s">
        <v>5</v>
      </c>
      <c r="H516">
        <v>250</v>
      </c>
      <c r="I516">
        <v>450</v>
      </c>
      <c r="J516">
        <v>100</v>
      </c>
      <c r="K516">
        <f>Claim[[#This Row],[Monto de prima]]-SUM(Claim[[#This Row],[Costo el reclamo]:[Costo de delivery]])</f>
        <v>-300</v>
      </c>
      <c r="L516" t="s">
        <v>11</v>
      </c>
      <c r="M516" t="s">
        <v>18</v>
      </c>
    </row>
    <row r="517" spans="2:13" x14ac:dyDescent="0.35">
      <c r="B517">
        <v>513</v>
      </c>
      <c r="C517">
        <v>4207</v>
      </c>
      <c r="D517" s="1">
        <v>40342</v>
      </c>
      <c r="E517" s="1">
        <v>41642</v>
      </c>
      <c r="F517" t="s">
        <v>31</v>
      </c>
      <c r="G517" t="s">
        <v>3</v>
      </c>
      <c r="H517">
        <v>2000</v>
      </c>
      <c r="I517">
        <v>800</v>
      </c>
      <c r="J517">
        <v>30</v>
      </c>
      <c r="K517">
        <f>Claim[[#This Row],[Monto de prima]]-SUM(Claim[[#This Row],[Costo el reclamo]:[Costo de delivery]])</f>
        <v>1170</v>
      </c>
      <c r="L517" t="s">
        <v>12</v>
      </c>
      <c r="M517" t="s">
        <v>19</v>
      </c>
    </row>
    <row r="518" spans="2:13" x14ac:dyDescent="0.35">
      <c r="B518">
        <v>514</v>
      </c>
      <c r="C518">
        <v>2871</v>
      </c>
      <c r="D518" s="1">
        <v>42403</v>
      </c>
      <c r="E518" s="1">
        <v>42658</v>
      </c>
      <c r="F518" t="s">
        <v>31</v>
      </c>
      <c r="G518" t="s">
        <v>5</v>
      </c>
      <c r="H518">
        <v>2000</v>
      </c>
      <c r="I518">
        <v>800</v>
      </c>
      <c r="J518">
        <v>25</v>
      </c>
      <c r="K518">
        <f>Claim[[#This Row],[Monto de prima]]-SUM(Claim[[#This Row],[Costo el reclamo]:[Costo de delivery]])</f>
        <v>1175</v>
      </c>
      <c r="L518" t="s">
        <v>10</v>
      </c>
      <c r="M518" t="s">
        <v>16</v>
      </c>
    </row>
    <row r="519" spans="2:13" x14ac:dyDescent="0.35">
      <c r="B519">
        <v>515</v>
      </c>
      <c r="C519">
        <v>1797</v>
      </c>
      <c r="D519" s="1">
        <v>42924</v>
      </c>
      <c r="E519" s="1">
        <v>42924</v>
      </c>
      <c r="F519" t="s">
        <v>30</v>
      </c>
      <c r="G519" t="s">
        <v>2</v>
      </c>
      <c r="H519">
        <v>600</v>
      </c>
      <c r="I519">
        <v>200</v>
      </c>
      <c r="J519">
        <v>35</v>
      </c>
      <c r="K519">
        <f>Claim[[#This Row],[Monto de prima]]-SUM(Claim[[#This Row],[Costo el reclamo]:[Costo de delivery]])</f>
        <v>365</v>
      </c>
      <c r="L519" t="s">
        <v>7</v>
      </c>
      <c r="M519" t="s">
        <v>16</v>
      </c>
    </row>
    <row r="520" spans="2:13" x14ac:dyDescent="0.35">
      <c r="B520">
        <v>516</v>
      </c>
      <c r="C520">
        <v>2281</v>
      </c>
      <c r="D520" s="1">
        <v>42237</v>
      </c>
      <c r="E520" s="1">
        <v>42237</v>
      </c>
      <c r="F520" t="s">
        <v>1</v>
      </c>
      <c r="G520" t="s">
        <v>2</v>
      </c>
      <c r="H520">
        <v>250</v>
      </c>
      <c r="I520">
        <v>450</v>
      </c>
      <c r="J520">
        <v>30</v>
      </c>
      <c r="K520">
        <f>Claim[[#This Row],[Monto de prima]]-SUM(Claim[[#This Row],[Costo el reclamo]:[Costo de delivery]])</f>
        <v>-230</v>
      </c>
      <c r="L520" t="s">
        <v>9</v>
      </c>
      <c r="M520" t="s">
        <v>15</v>
      </c>
    </row>
    <row r="521" spans="2:13" x14ac:dyDescent="0.35">
      <c r="B521">
        <v>517</v>
      </c>
      <c r="C521">
        <v>1891</v>
      </c>
      <c r="D521" s="1">
        <v>40253</v>
      </c>
      <c r="E521" s="1">
        <v>42440</v>
      </c>
      <c r="F521" t="s">
        <v>4</v>
      </c>
      <c r="G521" t="s">
        <v>6</v>
      </c>
      <c r="H521">
        <v>1000</v>
      </c>
      <c r="I521">
        <v>550</v>
      </c>
      <c r="J521">
        <v>30</v>
      </c>
      <c r="K521">
        <f>Claim[[#This Row],[Monto de prima]]-SUM(Claim[[#This Row],[Costo el reclamo]:[Costo de delivery]])</f>
        <v>420</v>
      </c>
      <c r="L521" t="s">
        <v>12</v>
      </c>
      <c r="M521" t="s">
        <v>19</v>
      </c>
    </row>
    <row r="522" spans="2:13" x14ac:dyDescent="0.35">
      <c r="B522">
        <v>518</v>
      </c>
      <c r="C522">
        <v>1709</v>
      </c>
      <c r="D522" s="1">
        <v>40291</v>
      </c>
      <c r="E522" s="1">
        <v>43443</v>
      </c>
      <c r="F522" t="s">
        <v>30</v>
      </c>
      <c r="G522" t="s">
        <v>2</v>
      </c>
      <c r="H522">
        <v>600</v>
      </c>
      <c r="I522">
        <v>200</v>
      </c>
      <c r="J522">
        <v>35</v>
      </c>
      <c r="K522">
        <f>Claim[[#This Row],[Monto de prima]]-SUM(Claim[[#This Row],[Costo el reclamo]:[Costo de delivery]])</f>
        <v>365</v>
      </c>
      <c r="L522" t="s">
        <v>7</v>
      </c>
      <c r="M522" t="s">
        <v>16</v>
      </c>
    </row>
    <row r="523" spans="2:13" x14ac:dyDescent="0.35">
      <c r="B523">
        <v>519</v>
      </c>
      <c r="C523">
        <v>4852</v>
      </c>
      <c r="D523" s="1">
        <v>40724</v>
      </c>
      <c r="E523" s="1">
        <v>43416</v>
      </c>
      <c r="F523" t="s">
        <v>31</v>
      </c>
      <c r="G523" t="s">
        <v>2</v>
      </c>
      <c r="H523">
        <v>2000</v>
      </c>
      <c r="I523">
        <v>800</v>
      </c>
      <c r="J523">
        <v>40</v>
      </c>
      <c r="K523">
        <f>Claim[[#This Row],[Monto de prima]]-SUM(Claim[[#This Row],[Costo el reclamo]:[Costo de delivery]])</f>
        <v>1160</v>
      </c>
      <c r="L523" t="s">
        <v>13</v>
      </c>
      <c r="M523" t="s">
        <v>14</v>
      </c>
    </row>
    <row r="524" spans="2:13" x14ac:dyDescent="0.35">
      <c r="B524">
        <v>520</v>
      </c>
      <c r="C524">
        <v>3919</v>
      </c>
      <c r="D524" s="1">
        <v>41365</v>
      </c>
      <c r="E524" s="1">
        <v>42311</v>
      </c>
      <c r="F524" t="s">
        <v>31</v>
      </c>
      <c r="G524" t="s">
        <v>6</v>
      </c>
      <c r="H524">
        <v>2000</v>
      </c>
      <c r="I524">
        <v>800</v>
      </c>
      <c r="J524">
        <v>20</v>
      </c>
      <c r="K524">
        <f>Claim[[#This Row],[Monto de prima]]-SUM(Claim[[#This Row],[Costo el reclamo]:[Costo de delivery]])</f>
        <v>1180</v>
      </c>
      <c r="L524" t="s">
        <v>11</v>
      </c>
      <c r="M524" t="s">
        <v>18</v>
      </c>
    </row>
    <row r="525" spans="2:13" x14ac:dyDescent="0.35">
      <c r="B525">
        <v>521</v>
      </c>
      <c r="C525">
        <v>1895</v>
      </c>
      <c r="D525" s="1">
        <v>43180</v>
      </c>
      <c r="E525" s="1">
        <v>43180</v>
      </c>
      <c r="F525" t="s">
        <v>4</v>
      </c>
      <c r="G525" t="s">
        <v>6</v>
      </c>
      <c r="H525">
        <v>1000</v>
      </c>
      <c r="I525">
        <v>550</v>
      </c>
      <c r="J525">
        <v>30</v>
      </c>
      <c r="K525">
        <f>Claim[[#This Row],[Monto de prima]]-SUM(Claim[[#This Row],[Costo el reclamo]:[Costo de delivery]])</f>
        <v>420</v>
      </c>
      <c r="L525" t="s">
        <v>13</v>
      </c>
      <c r="M525" t="s">
        <v>14</v>
      </c>
    </row>
    <row r="526" spans="2:13" x14ac:dyDescent="0.35">
      <c r="B526">
        <v>522</v>
      </c>
      <c r="C526">
        <v>3231</v>
      </c>
      <c r="D526" s="1">
        <v>43029</v>
      </c>
      <c r="E526" s="1">
        <v>43566</v>
      </c>
      <c r="F526" t="s">
        <v>30</v>
      </c>
      <c r="G526" t="s">
        <v>2</v>
      </c>
      <c r="H526">
        <v>600</v>
      </c>
      <c r="I526">
        <v>200</v>
      </c>
      <c r="J526">
        <v>35</v>
      </c>
      <c r="K526">
        <f>Claim[[#This Row],[Monto de prima]]-SUM(Claim[[#This Row],[Costo el reclamo]:[Costo de delivery]])</f>
        <v>365</v>
      </c>
      <c r="L526" t="s">
        <v>7</v>
      </c>
      <c r="M526" t="s">
        <v>16</v>
      </c>
    </row>
    <row r="527" spans="2:13" x14ac:dyDescent="0.35">
      <c r="B527">
        <v>523</v>
      </c>
      <c r="C527">
        <v>3381</v>
      </c>
      <c r="D527" s="1">
        <v>42299</v>
      </c>
      <c r="E527" s="1">
        <v>42636</v>
      </c>
      <c r="F527" t="s">
        <v>4</v>
      </c>
      <c r="G527" t="s">
        <v>6</v>
      </c>
      <c r="H527">
        <v>1000</v>
      </c>
      <c r="I527">
        <v>550</v>
      </c>
      <c r="J527">
        <v>30</v>
      </c>
      <c r="K527">
        <f>Claim[[#This Row],[Monto de prima]]-SUM(Claim[[#This Row],[Costo el reclamo]:[Costo de delivery]])</f>
        <v>420</v>
      </c>
      <c r="L527" t="s">
        <v>11</v>
      </c>
      <c r="M527" t="s">
        <v>18</v>
      </c>
    </row>
    <row r="528" spans="2:13" x14ac:dyDescent="0.35">
      <c r="B528">
        <v>524</v>
      </c>
      <c r="C528">
        <v>3789</v>
      </c>
      <c r="D528" s="1">
        <v>42576</v>
      </c>
      <c r="E528" s="1">
        <v>42576</v>
      </c>
      <c r="F528" t="s">
        <v>1</v>
      </c>
      <c r="G528" t="s">
        <v>5</v>
      </c>
      <c r="H528">
        <v>250</v>
      </c>
      <c r="I528">
        <v>450</v>
      </c>
      <c r="J528">
        <v>100</v>
      </c>
      <c r="K528">
        <f>Claim[[#This Row],[Monto de prima]]-SUM(Claim[[#This Row],[Costo el reclamo]:[Costo de delivery]])</f>
        <v>-300</v>
      </c>
      <c r="L528" t="s">
        <v>8</v>
      </c>
      <c r="M528" t="s">
        <v>17</v>
      </c>
    </row>
    <row r="529" spans="2:13" x14ac:dyDescent="0.35">
      <c r="B529">
        <v>525</v>
      </c>
      <c r="C529">
        <v>2214</v>
      </c>
      <c r="D529" s="1">
        <v>42849</v>
      </c>
      <c r="E529" s="1">
        <v>42884</v>
      </c>
      <c r="F529" t="s">
        <v>1</v>
      </c>
      <c r="G529" t="s">
        <v>6</v>
      </c>
      <c r="H529">
        <v>250</v>
      </c>
      <c r="I529">
        <v>450</v>
      </c>
      <c r="J529">
        <v>50</v>
      </c>
      <c r="K529">
        <f>Claim[[#This Row],[Monto de prima]]-SUM(Claim[[#This Row],[Costo el reclamo]:[Costo de delivery]])</f>
        <v>-250</v>
      </c>
      <c r="L529" t="s">
        <v>8</v>
      </c>
      <c r="M529" t="s">
        <v>17</v>
      </c>
    </row>
    <row r="530" spans="2:13" x14ac:dyDescent="0.35">
      <c r="B530">
        <v>526</v>
      </c>
      <c r="C530">
        <v>4630</v>
      </c>
      <c r="D530" s="1">
        <v>43144</v>
      </c>
      <c r="E530" s="1">
        <v>43144</v>
      </c>
      <c r="F530" t="s">
        <v>31</v>
      </c>
      <c r="G530" t="s">
        <v>6</v>
      </c>
      <c r="H530">
        <v>2000</v>
      </c>
      <c r="I530">
        <v>800</v>
      </c>
      <c r="J530">
        <v>20</v>
      </c>
      <c r="K530">
        <f>Claim[[#This Row],[Monto de prima]]-SUM(Claim[[#This Row],[Costo el reclamo]:[Costo de delivery]])</f>
        <v>1180</v>
      </c>
      <c r="L530" t="s">
        <v>11</v>
      </c>
      <c r="M530" t="s">
        <v>18</v>
      </c>
    </row>
    <row r="531" spans="2:13" x14ac:dyDescent="0.35">
      <c r="B531">
        <v>527</v>
      </c>
      <c r="C531">
        <v>3456</v>
      </c>
      <c r="D531" s="1">
        <v>41905</v>
      </c>
      <c r="E531" s="1">
        <v>42345</v>
      </c>
      <c r="F531" t="s">
        <v>30</v>
      </c>
      <c r="G531" t="s">
        <v>6</v>
      </c>
      <c r="H531">
        <v>600</v>
      </c>
      <c r="I531">
        <v>200</v>
      </c>
      <c r="J531">
        <v>15</v>
      </c>
      <c r="K531">
        <f>Claim[[#This Row],[Monto de prima]]-SUM(Claim[[#This Row],[Costo el reclamo]:[Costo de delivery]])</f>
        <v>385</v>
      </c>
      <c r="L531" t="s">
        <v>10</v>
      </c>
      <c r="M531" t="s">
        <v>16</v>
      </c>
    </row>
    <row r="532" spans="2:13" x14ac:dyDescent="0.35">
      <c r="B532">
        <v>528</v>
      </c>
      <c r="C532">
        <v>4233</v>
      </c>
      <c r="D532" s="1">
        <v>40315</v>
      </c>
      <c r="E532" s="1">
        <v>43653</v>
      </c>
      <c r="F532" t="s">
        <v>30</v>
      </c>
      <c r="G532" t="s">
        <v>6</v>
      </c>
      <c r="H532">
        <v>600</v>
      </c>
      <c r="I532">
        <v>200</v>
      </c>
      <c r="J532">
        <v>15</v>
      </c>
      <c r="K532">
        <f>Claim[[#This Row],[Monto de prima]]-SUM(Claim[[#This Row],[Costo el reclamo]:[Costo de delivery]])</f>
        <v>385</v>
      </c>
      <c r="L532" t="s">
        <v>8</v>
      </c>
      <c r="M532" t="s">
        <v>17</v>
      </c>
    </row>
    <row r="533" spans="2:13" x14ac:dyDescent="0.35">
      <c r="B533">
        <v>529</v>
      </c>
      <c r="C533">
        <v>3110</v>
      </c>
      <c r="D533" s="1">
        <v>41542</v>
      </c>
      <c r="E533" s="1">
        <v>41542</v>
      </c>
      <c r="F533" t="s">
        <v>31</v>
      </c>
      <c r="G533" t="s">
        <v>5</v>
      </c>
      <c r="H533">
        <v>2000</v>
      </c>
      <c r="I533">
        <v>800</v>
      </c>
      <c r="J533">
        <v>25</v>
      </c>
      <c r="K533">
        <f>Claim[[#This Row],[Monto de prima]]-SUM(Claim[[#This Row],[Costo el reclamo]:[Costo de delivery]])</f>
        <v>1175</v>
      </c>
      <c r="L533" t="s">
        <v>8</v>
      </c>
      <c r="M533" t="s">
        <v>17</v>
      </c>
    </row>
    <row r="534" spans="2:13" x14ac:dyDescent="0.35">
      <c r="B534">
        <v>530</v>
      </c>
      <c r="C534">
        <v>3803</v>
      </c>
      <c r="D534" s="1">
        <v>42541</v>
      </c>
      <c r="E534" s="1">
        <v>43083</v>
      </c>
      <c r="F534" t="s">
        <v>30</v>
      </c>
      <c r="G534" t="s">
        <v>3</v>
      </c>
      <c r="H534">
        <v>600</v>
      </c>
      <c r="I534">
        <v>200</v>
      </c>
      <c r="J534">
        <v>20</v>
      </c>
      <c r="K534">
        <f>Claim[[#This Row],[Monto de prima]]-SUM(Claim[[#This Row],[Costo el reclamo]:[Costo de delivery]])</f>
        <v>380</v>
      </c>
      <c r="L534" t="s">
        <v>7</v>
      </c>
      <c r="M534" t="s">
        <v>16</v>
      </c>
    </row>
    <row r="535" spans="2:13" x14ac:dyDescent="0.35">
      <c r="B535">
        <v>531</v>
      </c>
      <c r="C535">
        <v>1551</v>
      </c>
      <c r="D535" s="1">
        <v>40381</v>
      </c>
      <c r="E535" s="1">
        <v>42865</v>
      </c>
      <c r="F535" t="s">
        <v>30</v>
      </c>
      <c r="G535" t="s">
        <v>6</v>
      </c>
      <c r="H535">
        <v>600</v>
      </c>
      <c r="I535">
        <v>200</v>
      </c>
      <c r="J535">
        <v>15</v>
      </c>
      <c r="K535">
        <f>Claim[[#This Row],[Monto de prima]]-SUM(Claim[[#This Row],[Costo el reclamo]:[Costo de delivery]])</f>
        <v>385</v>
      </c>
      <c r="L535" t="s">
        <v>12</v>
      </c>
      <c r="M535" t="s">
        <v>19</v>
      </c>
    </row>
    <row r="536" spans="2:13" x14ac:dyDescent="0.35">
      <c r="B536">
        <v>532</v>
      </c>
      <c r="C536">
        <v>2889</v>
      </c>
      <c r="D536" s="1">
        <v>42515</v>
      </c>
      <c r="E536" s="1">
        <v>42515</v>
      </c>
      <c r="F536" t="s">
        <v>1</v>
      </c>
      <c r="G536" t="s">
        <v>3</v>
      </c>
      <c r="H536">
        <v>250</v>
      </c>
      <c r="I536">
        <v>450</v>
      </c>
      <c r="J536">
        <v>80</v>
      </c>
      <c r="K536">
        <f>Claim[[#This Row],[Monto de prima]]-SUM(Claim[[#This Row],[Costo el reclamo]:[Costo de delivery]])</f>
        <v>-280</v>
      </c>
      <c r="L536" t="s">
        <v>12</v>
      </c>
      <c r="M536" t="s">
        <v>19</v>
      </c>
    </row>
    <row r="537" spans="2:13" x14ac:dyDescent="0.35">
      <c r="B537">
        <v>533</v>
      </c>
      <c r="C537">
        <v>2835</v>
      </c>
      <c r="D537" s="1">
        <v>40748</v>
      </c>
      <c r="E537" s="1">
        <v>42405</v>
      </c>
      <c r="F537" t="s">
        <v>1</v>
      </c>
      <c r="G537" t="s">
        <v>6</v>
      </c>
      <c r="H537">
        <v>250</v>
      </c>
      <c r="I537">
        <v>450</v>
      </c>
      <c r="J537">
        <v>50</v>
      </c>
      <c r="K537">
        <f>Claim[[#This Row],[Monto de prima]]-SUM(Claim[[#This Row],[Costo el reclamo]:[Costo de delivery]])</f>
        <v>-250</v>
      </c>
      <c r="L537" t="s">
        <v>12</v>
      </c>
      <c r="M537" t="s">
        <v>19</v>
      </c>
    </row>
    <row r="538" spans="2:13" x14ac:dyDescent="0.35">
      <c r="B538">
        <v>534</v>
      </c>
      <c r="C538">
        <v>1092</v>
      </c>
      <c r="D538" s="1">
        <v>40332</v>
      </c>
      <c r="E538" s="1">
        <v>42129</v>
      </c>
      <c r="F538" t="s">
        <v>30</v>
      </c>
      <c r="G538" t="s">
        <v>2</v>
      </c>
      <c r="H538">
        <v>600</v>
      </c>
      <c r="I538">
        <v>200</v>
      </c>
      <c r="J538">
        <v>35</v>
      </c>
      <c r="K538">
        <f>Claim[[#This Row],[Monto de prima]]-SUM(Claim[[#This Row],[Costo el reclamo]:[Costo de delivery]])</f>
        <v>365</v>
      </c>
      <c r="L538" t="s">
        <v>11</v>
      </c>
      <c r="M538" t="s">
        <v>18</v>
      </c>
    </row>
    <row r="539" spans="2:13" x14ac:dyDescent="0.35">
      <c r="B539">
        <v>535</v>
      </c>
      <c r="C539">
        <v>4891</v>
      </c>
      <c r="D539" s="1">
        <v>41429</v>
      </c>
      <c r="E539" s="1">
        <v>42054</v>
      </c>
      <c r="F539" t="s">
        <v>31</v>
      </c>
      <c r="G539" t="s">
        <v>6</v>
      </c>
      <c r="H539">
        <v>2000</v>
      </c>
      <c r="I539">
        <v>800</v>
      </c>
      <c r="J539">
        <v>20</v>
      </c>
      <c r="K539">
        <f>Claim[[#This Row],[Monto de prima]]-SUM(Claim[[#This Row],[Costo el reclamo]:[Costo de delivery]])</f>
        <v>1180</v>
      </c>
      <c r="L539" t="s">
        <v>13</v>
      </c>
      <c r="M539" t="s">
        <v>14</v>
      </c>
    </row>
    <row r="540" spans="2:13" x14ac:dyDescent="0.35">
      <c r="B540">
        <v>536</v>
      </c>
      <c r="C540">
        <v>3259</v>
      </c>
      <c r="D540" s="1">
        <v>41410</v>
      </c>
      <c r="E540" s="1">
        <v>43809</v>
      </c>
      <c r="F540" t="s">
        <v>31</v>
      </c>
      <c r="G540" t="s">
        <v>2</v>
      </c>
      <c r="H540">
        <v>2000</v>
      </c>
      <c r="I540">
        <v>800</v>
      </c>
      <c r="J540">
        <v>40</v>
      </c>
      <c r="K540">
        <f>Claim[[#This Row],[Monto de prima]]-SUM(Claim[[#This Row],[Costo el reclamo]:[Costo de delivery]])</f>
        <v>1160</v>
      </c>
      <c r="L540" t="s">
        <v>7</v>
      </c>
      <c r="M540" t="s">
        <v>16</v>
      </c>
    </row>
    <row r="541" spans="2:13" x14ac:dyDescent="0.35">
      <c r="B541">
        <v>537</v>
      </c>
      <c r="C541">
        <v>4488</v>
      </c>
      <c r="D541" s="1">
        <v>40467</v>
      </c>
      <c r="E541" s="1">
        <v>43774</v>
      </c>
      <c r="F541" t="s">
        <v>30</v>
      </c>
      <c r="G541" t="s">
        <v>2</v>
      </c>
      <c r="H541">
        <v>600</v>
      </c>
      <c r="I541">
        <v>200</v>
      </c>
      <c r="J541">
        <v>35</v>
      </c>
      <c r="K541">
        <f>Claim[[#This Row],[Monto de prima]]-SUM(Claim[[#This Row],[Costo el reclamo]:[Costo de delivery]])</f>
        <v>365</v>
      </c>
      <c r="L541" t="s">
        <v>11</v>
      </c>
      <c r="M541" t="s">
        <v>18</v>
      </c>
    </row>
    <row r="542" spans="2:13" x14ac:dyDescent="0.35">
      <c r="B542">
        <v>538</v>
      </c>
      <c r="C542">
        <v>1964</v>
      </c>
      <c r="D542" s="1">
        <v>41032</v>
      </c>
      <c r="E542" s="1">
        <v>41837</v>
      </c>
      <c r="F542" t="s">
        <v>1</v>
      </c>
      <c r="G542" t="s">
        <v>2</v>
      </c>
      <c r="H542">
        <v>250</v>
      </c>
      <c r="I542">
        <v>450</v>
      </c>
      <c r="J542">
        <v>30</v>
      </c>
      <c r="K542">
        <f>Claim[[#This Row],[Monto de prima]]-SUM(Claim[[#This Row],[Costo el reclamo]:[Costo de delivery]])</f>
        <v>-230</v>
      </c>
      <c r="L542" t="s">
        <v>10</v>
      </c>
      <c r="M542" t="s">
        <v>16</v>
      </c>
    </row>
    <row r="543" spans="2:13" x14ac:dyDescent="0.35">
      <c r="B543">
        <v>539</v>
      </c>
      <c r="C543">
        <v>4097</v>
      </c>
      <c r="D543" s="1">
        <v>41548</v>
      </c>
      <c r="E543" s="1">
        <v>41574</v>
      </c>
      <c r="F543" t="s">
        <v>31</v>
      </c>
      <c r="G543" t="s">
        <v>2</v>
      </c>
      <c r="H543">
        <v>2000</v>
      </c>
      <c r="I543">
        <v>800</v>
      </c>
      <c r="J543">
        <v>40</v>
      </c>
      <c r="K543">
        <f>Claim[[#This Row],[Monto de prima]]-SUM(Claim[[#This Row],[Costo el reclamo]:[Costo de delivery]])</f>
        <v>1160</v>
      </c>
      <c r="L543" t="s">
        <v>8</v>
      </c>
      <c r="M543" t="s">
        <v>17</v>
      </c>
    </row>
    <row r="544" spans="2:13" x14ac:dyDescent="0.35">
      <c r="B544">
        <v>540</v>
      </c>
      <c r="C544">
        <v>4943</v>
      </c>
      <c r="D544" s="1">
        <v>41062</v>
      </c>
      <c r="E544" s="1">
        <v>41127</v>
      </c>
      <c r="F544" t="s">
        <v>30</v>
      </c>
      <c r="G544" t="s">
        <v>5</v>
      </c>
      <c r="H544">
        <v>600</v>
      </c>
      <c r="I544">
        <v>200</v>
      </c>
      <c r="J544">
        <v>50</v>
      </c>
      <c r="K544">
        <f>Claim[[#This Row],[Monto de prima]]-SUM(Claim[[#This Row],[Costo el reclamo]:[Costo de delivery]])</f>
        <v>350</v>
      </c>
      <c r="L544" t="s">
        <v>8</v>
      </c>
      <c r="M544" t="s">
        <v>17</v>
      </c>
    </row>
    <row r="545" spans="2:13" x14ac:dyDescent="0.35">
      <c r="B545">
        <v>541</v>
      </c>
      <c r="C545">
        <v>3853</v>
      </c>
      <c r="D545" s="1">
        <v>43141</v>
      </c>
      <c r="E545" s="1">
        <v>43141</v>
      </c>
      <c r="F545" t="s">
        <v>30</v>
      </c>
      <c r="G545" t="s">
        <v>5</v>
      </c>
      <c r="H545">
        <v>600</v>
      </c>
      <c r="I545">
        <v>200</v>
      </c>
      <c r="J545">
        <v>50</v>
      </c>
      <c r="K545">
        <f>Claim[[#This Row],[Monto de prima]]-SUM(Claim[[#This Row],[Costo el reclamo]:[Costo de delivery]])</f>
        <v>350</v>
      </c>
      <c r="L545" t="s">
        <v>12</v>
      </c>
      <c r="M545" t="s">
        <v>19</v>
      </c>
    </row>
    <row r="546" spans="2:13" x14ac:dyDescent="0.35">
      <c r="B546">
        <v>542</v>
      </c>
      <c r="C546">
        <v>2381</v>
      </c>
      <c r="D546" s="1">
        <v>42172</v>
      </c>
      <c r="E546" s="1">
        <v>42172</v>
      </c>
      <c r="F546" t="s">
        <v>31</v>
      </c>
      <c r="G546" t="s">
        <v>6</v>
      </c>
      <c r="H546">
        <v>2000</v>
      </c>
      <c r="I546">
        <v>800</v>
      </c>
      <c r="J546">
        <v>20</v>
      </c>
      <c r="K546">
        <f>Claim[[#This Row],[Monto de prima]]-SUM(Claim[[#This Row],[Costo el reclamo]:[Costo de delivery]])</f>
        <v>1180</v>
      </c>
      <c r="L546" t="s">
        <v>8</v>
      </c>
      <c r="M546" t="s">
        <v>17</v>
      </c>
    </row>
    <row r="547" spans="2:13" x14ac:dyDescent="0.35">
      <c r="B547">
        <v>543</v>
      </c>
      <c r="C547">
        <v>2404</v>
      </c>
      <c r="D547" s="1">
        <v>40539</v>
      </c>
      <c r="E547" s="1">
        <v>41221</v>
      </c>
      <c r="F547" t="s">
        <v>4</v>
      </c>
      <c r="G547" t="s">
        <v>5</v>
      </c>
      <c r="H547">
        <v>1000</v>
      </c>
      <c r="I547">
        <v>550</v>
      </c>
      <c r="J547">
        <v>50</v>
      </c>
      <c r="K547">
        <f>Claim[[#This Row],[Monto de prima]]-SUM(Claim[[#This Row],[Costo el reclamo]:[Costo de delivery]])</f>
        <v>400</v>
      </c>
      <c r="L547" t="s">
        <v>12</v>
      </c>
      <c r="M547" t="s">
        <v>19</v>
      </c>
    </row>
    <row r="548" spans="2:13" x14ac:dyDescent="0.35">
      <c r="B548">
        <v>544</v>
      </c>
      <c r="C548">
        <v>3248</v>
      </c>
      <c r="D548" s="1">
        <v>41191</v>
      </c>
      <c r="E548" s="1">
        <v>42558</v>
      </c>
      <c r="F548" t="s">
        <v>30</v>
      </c>
      <c r="G548" t="s">
        <v>3</v>
      </c>
      <c r="H548">
        <v>600</v>
      </c>
      <c r="I548">
        <v>200</v>
      </c>
      <c r="J548">
        <v>20</v>
      </c>
      <c r="K548">
        <f>Claim[[#This Row],[Monto de prima]]-SUM(Claim[[#This Row],[Costo el reclamo]:[Costo de delivery]])</f>
        <v>380</v>
      </c>
      <c r="L548" t="s">
        <v>10</v>
      </c>
      <c r="M548" t="s">
        <v>16</v>
      </c>
    </row>
    <row r="549" spans="2:13" x14ac:dyDescent="0.35">
      <c r="B549">
        <v>545</v>
      </c>
      <c r="C549">
        <v>1520</v>
      </c>
      <c r="D549" s="1">
        <v>42344</v>
      </c>
      <c r="E549" s="1">
        <v>42344</v>
      </c>
      <c r="F549" t="s">
        <v>30</v>
      </c>
      <c r="G549" t="s">
        <v>3</v>
      </c>
      <c r="H549">
        <v>600</v>
      </c>
      <c r="I549">
        <v>200</v>
      </c>
      <c r="J549">
        <v>20</v>
      </c>
      <c r="K549">
        <f>Claim[[#This Row],[Monto de prima]]-SUM(Claim[[#This Row],[Costo el reclamo]:[Costo de delivery]])</f>
        <v>380</v>
      </c>
      <c r="L549" t="s">
        <v>13</v>
      </c>
      <c r="M549" t="s">
        <v>14</v>
      </c>
    </row>
    <row r="550" spans="2:13" x14ac:dyDescent="0.35">
      <c r="B550">
        <v>546</v>
      </c>
      <c r="C550">
        <v>2136</v>
      </c>
      <c r="D550" s="1">
        <v>43112</v>
      </c>
      <c r="E550" s="1">
        <v>43112</v>
      </c>
      <c r="F550" t="s">
        <v>4</v>
      </c>
      <c r="G550" t="s">
        <v>3</v>
      </c>
      <c r="H550">
        <v>1000</v>
      </c>
      <c r="I550">
        <v>550</v>
      </c>
      <c r="J550">
        <v>80</v>
      </c>
      <c r="K550">
        <f>Claim[[#This Row],[Monto de prima]]-SUM(Claim[[#This Row],[Costo el reclamo]:[Costo de delivery]])</f>
        <v>370</v>
      </c>
      <c r="L550" t="s">
        <v>7</v>
      </c>
      <c r="M550" t="s">
        <v>16</v>
      </c>
    </row>
    <row r="551" spans="2:13" x14ac:dyDescent="0.35">
      <c r="B551">
        <v>547</v>
      </c>
      <c r="C551">
        <v>1477</v>
      </c>
      <c r="D551" s="1">
        <v>40525</v>
      </c>
      <c r="E551" s="1">
        <v>42194</v>
      </c>
      <c r="F551" t="s">
        <v>31</v>
      </c>
      <c r="G551" t="s">
        <v>3</v>
      </c>
      <c r="H551">
        <v>2000</v>
      </c>
      <c r="I551">
        <v>800</v>
      </c>
      <c r="J551">
        <v>30</v>
      </c>
      <c r="K551">
        <f>Claim[[#This Row],[Monto de prima]]-SUM(Claim[[#This Row],[Costo el reclamo]:[Costo de delivery]])</f>
        <v>1170</v>
      </c>
      <c r="L551" t="s">
        <v>9</v>
      </c>
      <c r="M551" t="s">
        <v>15</v>
      </c>
    </row>
    <row r="552" spans="2:13" x14ac:dyDescent="0.35">
      <c r="B552">
        <v>548</v>
      </c>
      <c r="C552">
        <v>4016</v>
      </c>
      <c r="D552" s="1">
        <v>40955</v>
      </c>
      <c r="E552" s="1">
        <v>42445</v>
      </c>
      <c r="F552" t="s">
        <v>30</v>
      </c>
      <c r="G552" t="s">
        <v>2</v>
      </c>
      <c r="H552">
        <v>600</v>
      </c>
      <c r="I552">
        <v>200</v>
      </c>
      <c r="J552">
        <v>35</v>
      </c>
      <c r="K552">
        <f>Claim[[#This Row],[Monto de prima]]-SUM(Claim[[#This Row],[Costo el reclamo]:[Costo de delivery]])</f>
        <v>365</v>
      </c>
      <c r="L552" t="s">
        <v>8</v>
      </c>
      <c r="M552" t="s">
        <v>17</v>
      </c>
    </row>
    <row r="553" spans="2:13" x14ac:dyDescent="0.35">
      <c r="B553">
        <v>549</v>
      </c>
      <c r="C553">
        <v>4206</v>
      </c>
      <c r="D553" s="1">
        <v>41181</v>
      </c>
      <c r="E553" s="1">
        <v>43670</v>
      </c>
      <c r="F553" t="s">
        <v>30</v>
      </c>
      <c r="G553" t="s">
        <v>3</v>
      </c>
      <c r="H553">
        <v>600</v>
      </c>
      <c r="I553">
        <v>200</v>
      </c>
      <c r="J553">
        <v>20</v>
      </c>
      <c r="K553">
        <f>Claim[[#This Row],[Monto de prima]]-SUM(Claim[[#This Row],[Costo el reclamo]:[Costo de delivery]])</f>
        <v>380</v>
      </c>
      <c r="L553" t="s">
        <v>12</v>
      </c>
      <c r="M553" t="s">
        <v>19</v>
      </c>
    </row>
    <row r="554" spans="2:13" x14ac:dyDescent="0.35">
      <c r="B554">
        <v>550</v>
      </c>
      <c r="C554">
        <v>1896</v>
      </c>
      <c r="D554" s="1">
        <v>42514</v>
      </c>
      <c r="E554" s="1">
        <v>43101</v>
      </c>
      <c r="F554" t="s">
        <v>31</v>
      </c>
      <c r="G554" t="s">
        <v>6</v>
      </c>
      <c r="H554">
        <v>2000</v>
      </c>
      <c r="I554">
        <v>800</v>
      </c>
      <c r="J554">
        <v>20</v>
      </c>
      <c r="K554">
        <f>Claim[[#This Row],[Monto de prima]]-SUM(Claim[[#This Row],[Costo el reclamo]:[Costo de delivery]])</f>
        <v>1180</v>
      </c>
      <c r="L554" t="s">
        <v>8</v>
      </c>
      <c r="M554" t="s">
        <v>17</v>
      </c>
    </row>
    <row r="555" spans="2:13" x14ac:dyDescent="0.35">
      <c r="B555">
        <v>551</v>
      </c>
      <c r="C555">
        <v>3731</v>
      </c>
      <c r="D555" s="1">
        <v>41283</v>
      </c>
      <c r="E555" s="1">
        <v>41304</v>
      </c>
      <c r="F555" t="s">
        <v>1</v>
      </c>
      <c r="G555" t="s">
        <v>6</v>
      </c>
      <c r="H555">
        <v>250</v>
      </c>
      <c r="I555">
        <v>450</v>
      </c>
      <c r="J555">
        <v>50</v>
      </c>
      <c r="K555">
        <f>Claim[[#This Row],[Monto de prima]]-SUM(Claim[[#This Row],[Costo el reclamo]:[Costo de delivery]])</f>
        <v>-250</v>
      </c>
      <c r="L555" t="s">
        <v>9</v>
      </c>
      <c r="M555" t="s">
        <v>15</v>
      </c>
    </row>
    <row r="556" spans="2:13" x14ac:dyDescent="0.35">
      <c r="B556">
        <v>552</v>
      </c>
      <c r="C556">
        <v>2771</v>
      </c>
      <c r="D556" s="1">
        <v>43167</v>
      </c>
      <c r="E556" s="1">
        <v>43167</v>
      </c>
      <c r="F556" t="s">
        <v>31</v>
      </c>
      <c r="G556" t="s">
        <v>6</v>
      </c>
      <c r="H556">
        <v>2000</v>
      </c>
      <c r="I556">
        <v>800</v>
      </c>
      <c r="J556">
        <v>20</v>
      </c>
      <c r="K556">
        <f>Claim[[#This Row],[Monto de prima]]-SUM(Claim[[#This Row],[Costo el reclamo]:[Costo de delivery]])</f>
        <v>1180</v>
      </c>
      <c r="L556" t="s">
        <v>7</v>
      </c>
      <c r="M556" t="s">
        <v>16</v>
      </c>
    </row>
    <row r="557" spans="2:13" x14ac:dyDescent="0.35">
      <c r="B557">
        <v>553</v>
      </c>
      <c r="C557">
        <v>1607</v>
      </c>
      <c r="D557" s="1">
        <v>40524</v>
      </c>
      <c r="E557" s="1">
        <v>42774</v>
      </c>
      <c r="F557" t="s">
        <v>4</v>
      </c>
      <c r="G557" t="s">
        <v>5</v>
      </c>
      <c r="H557">
        <v>1000</v>
      </c>
      <c r="I557">
        <v>550</v>
      </c>
      <c r="J557">
        <v>50</v>
      </c>
      <c r="K557">
        <f>Claim[[#This Row],[Monto de prima]]-SUM(Claim[[#This Row],[Costo el reclamo]:[Costo de delivery]])</f>
        <v>400</v>
      </c>
      <c r="L557" t="s">
        <v>11</v>
      </c>
      <c r="M557" t="s">
        <v>18</v>
      </c>
    </row>
    <row r="558" spans="2:13" x14ac:dyDescent="0.35">
      <c r="B558">
        <v>554</v>
      </c>
      <c r="C558">
        <v>2498</v>
      </c>
      <c r="D558" s="1">
        <v>40730</v>
      </c>
      <c r="E558" s="1">
        <v>42488</v>
      </c>
      <c r="F558" t="s">
        <v>1</v>
      </c>
      <c r="G558" t="s">
        <v>2</v>
      </c>
      <c r="H558">
        <v>250</v>
      </c>
      <c r="I558">
        <v>450</v>
      </c>
      <c r="J558">
        <v>30</v>
      </c>
      <c r="K558">
        <f>Claim[[#This Row],[Monto de prima]]-SUM(Claim[[#This Row],[Costo el reclamo]:[Costo de delivery]])</f>
        <v>-230</v>
      </c>
      <c r="L558" t="s">
        <v>9</v>
      </c>
      <c r="M558" t="s">
        <v>15</v>
      </c>
    </row>
    <row r="559" spans="2:13" x14ac:dyDescent="0.35">
      <c r="B559">
        <v>555</v>
      </c>
      <c r="C559">
        <v>2448</v>
      </c>
      <c r="D559" s="1">
        <v>41411</v>
      </c>
      <c r="E559" s="1">
        <v>42589</v>
      </c>
      <c r="F559" t="s">
        <v>30</v>
      </c>
      <c r="G559" t="s">
        <v>5</v>
      </c>
      <c r="H559">
        <v>600</v>
      </c>
      <c r="I559">
        <v>200</v>
      </c>
      <c r="J559">
        <v>50</v>
      </c>
      <c r="K559">
        <f>Claim[[#This Row],[Monto de prima]]-SUM(Claim[[#This Row],[Costo el reclamo]:[Costo de delivery]])</f>
        <v>350</v>
      </c>
      <c r="L559" t="s">
        <v>9</v>
      </c>
      <c r="M559" t="s">
        <v>15</v>
      </c>
    </row>
    <row r="560" spans="2:13" x14ac:dyDescent="0.35">
      <c r="B560">
        <v>556</v>
      </c>
      <c r="C560">
        <v>1448</v>
      </c>
      <c r="D560" s="1">
        <v>41339</v>
      </c>
      <c r="E560" s="1">
        <v>42009</v>
      </c>
      <c r="F560" t="s">
        <v>31</v>
      </c>
      <c r="G560" t="s">
        <v>3</v>
      </c>
      <c r="H560">
        <v>2000</v>
      </c>
      <c r="I560">
        <v>800</v>
      </c>
      <c r="J560">
        <v>30</v>
      </c>
      <c r="K560">
        <f>Claim[[#This Row],[Monto de prima]]-SUM(Claim[[#This Row],[Costo el reclamo]:[Costo de delivery]])</f>
        <v>1170</v>
      </c>
      <c r="L560" t="s">
        <v>8</v>
      </c>
      <c r="M560" t="s">
        <v>17</v>
      </c>
    </row>
    <row r="561" spans="2:13" x14ac:dyDescent="0.35">
      <c r="B561">
        <v>557</v>
      </c>
      <c r="C561">
        <v>3813</v>
      </c>
      <c r="D561" s="1">
        <v>41177</v>
      </c>
      <c r="E561" s="1">
        <v>42327</v>
      </c>
      <c r="F561" t="s">
        <v>4</v>
      </c>
      <c r="G561" t="s">
        <v>3</v>
      </c>
      <c r="H561">
        <v>1000</v>
      </c>
      <c r="I561">
        <v>550</v>
      </c>
      <c r="J561">
        <v>80</v>
      </c>
      <c r="K561">
        <f>Claim[[#This Row],[Monto de prima]]-SUM(Claim[[#This Row],[Costo el reclamo]:[Costo de delivery]])</f>
        <v>370</v>
      </c>
      <c r="L561" t="s">
        <v>12</v>
      </c>
      <c r="M561" t="s">
        <v>19</v>
      </c>
    </row>
    <row r="562" spans="2:13" x14ac:dyDescent="0.35">
      <c r="B562">
        <v>558</v>
      </c>
      <c r="C562">
        <v>3974</v>
      </c>
      <c r="D562" s="1">
        <v>41426</v>
      </c>
      <c r="E562" s="1">
        <v>42533</v>
      </c>
      <c r="F562" t="s">
        <v>4</v>
      </c>
      <c r="G562" t="s">
        <v>5</v>
      </c>
      <c r="H562">
        <v>1000</v>
      </c>
      <c r="I562">
        <v>550</v>
      </c>
      <c r="J562">
        <v>50</v>
      </c>
      <c r="K562">
        <f>Claim[[#This Row],[Monto de prima]]-SUM(Claim[[#This Row],[Costo el reclamo]:[Costo de delivery]])</f>
        <v>400</v>
      </c>
      <c r="L562" t="s">
        <v>12</v>
      </c>
      <c r="M562" t="s">
        <v>19</v>
      </c>
    </row>
    <row r="563" spans="2:13" x14ac:dyDescent="0.35">
      <c r="B563">
        <v>559</v>
      </c>
      <c r="C563">
        <v>4966</v>
      </c>
      <c r="D563" s="1">
        <v>41913</v>
      </c>
      <c r="E563" s="1">
        <v>41913</v>
      </c>
      <c r="F563" t="s">
        <v>1</v>
      </c>
      <c r="G563" t="s">
        <v>5</v>
      </c>
      <c r="H563">
        <v>250</v>
      </c>
      <c r="I563">
        <v>450</v>
      </c>
      <c r="J563">
        <v>100</v>
      </c>
      <c r="K563">
        <f>Claim[[#This Row],[Monto de prima]]-SUM(Claim[[#This Row],[Costo el reclamo]:[Costo de delivery]])</f>
        <v>-300</v>
      </c>
      <c r="L563" t="s">
        <v>12</v>
      </c>
      <c r="M563" t="s">
        <v>19</v>
      </c>
    </row>
    <row r="564" spans="2:13" x14ac:dyDescent="0.35">
      <c r="B564">
        <v>560</v>
      </c>
      <c r="C564">
        <v>2633</v>
      </c>
      <c r="D564" s="1">
        <v>40463</v>
      </c>
      <c r="E564" s="1">
        <v>42282</v>
      </c>
      <c r="F564" t="s">
        <v>31</v>
      </c>
      <c r="G564" t="s">
        <v>2</v>
      </c>
      <c r="H564">
        <v>2000</v>
      </c>
      <c r="I564">
        <v>800</v>
      </c>
      <c r="J564">
        <v>40</v>
      </c>
      <c r="K564">
        <f>Claim[[#This Row],[Monto de prima]]-SUM(Claim[[#This Row],[Costo el reclamo]:[Costo de delivery]])</f>
        <v>1160</v>
      </c>
      <c r="L564" t="s">
        <v>13</v>
      </c>
      <c r="M564" t="s">
        <v>14</v>
      </c>
    </row>
    <row r="565" spans="2:13" x14ac:dyDescent="0.35">
      <c r="B565">
        <v>561</v>
      </c>
      <c r="C565">
        <v>4525</v>
      </c>
      <c r="D565" s="1">
        <v>40183</v>
      </c>
      <c r="E565" s="1">
        <v>43584</v>
      </c>
      <c r="F565" t="s">
        <v>1</v>
      </c>
      <c r="G565" t="s">
        <v>5</v>
      </c>
      <c r="H565">
        <v>250</v>
      </c>
      <c r="I565">
        <v>450</v>
      </c>
      <c r="J565">
        <v>100</v>
      </c>
      <c r="K565">
        <f>Claim[[#This Row],[Monto de prima]]-SUM(Claim[[#This Row],[Costo el reclamo]:[Costo de delivery]])</f>
        <v>-300</v>
      </c>
      <c r="L565" t="s">
        <v>13</v>
      </c>
      <c r="M565" t="s">
        <v>14</v>
      </c>
    </row>
    <row r="566" spans="2:13" x14ac:dyDescent="0.35">
      <c r="B566">
        <v>562</v>
      </c>
      <c r="C566">
        <v>1205</v>
      </c>
      <c r="D566" s="1">
        <v>42987</v>
      </c>
      <c r="E566" s="1">
        <v>42987</v>
      </c>
      <c r="F566" t="s">
        <v>30</v>
      </c>
      <c r="G566" t="s">
        <v>3</v>
      </c>
      <c r="H566">
        <v>600</v>
      </c>
      <c r="I566">
        <v>200</v>
      </c>
      <c r="J566">
        <v>20</v>
      </c>
      <c r="K566">
        <f>Claim[[#This Row],[Monto de prima]]-SUM(Claim[[#This Row],[Costo el reclamo]:[Costo de delivery]])</f>
        <v>380</v>
      </c>
      <c r="L566" t="s">
        <v>12</v>
      </c>
      <c r="M566" t="s">
        <v>19</v>
      </c>
    </row>
    <row r="567" spans="2:13" x14ac:dyDescent="0.35">
      <c r="B567">
        <v>563</v>
      </c>
      <c r="C567">
        <v>1321</v>
      </c>
      <c r="D567" s="1">
        <v>43057</v>
      </c>
      <c r="E567" s="1">
        <v>43057</v>
      </c>
      <c r="F567" t="s">
        <v>1</v>
      </c>
      <c r="G567" t="s">
        <v>2</v>
      </c>
      <c r="H567">
        <v>250</v>
      </c>
      <c r="I567">
        <v>450</v>
      </c>
      <c r="J567">
        <v>30</v>
      </c>
      <c r="K567">
        <f>Claim[[#This Row],[Monto de prima]]-SUM(Claim[[#This Row],[Costo el reclamo]:[Costo de delivery]])</f>
        <v>-230</v>
      </c>
      <c r="L567" t="s">
        <v>10</v>
      </c>
      <c r="M567" t="s">
        <v>16</v>
      </c>
    </row>
    <row r="568" spans="2:13" x14ac:dyDescent="0.35">
      <c r="B568">
        <v>564</v>
      </c>
      <c r="C568">
        <v>2955</v>
      </c>
      <c r="D568" s="1">
        <v>41289</v>
      </c>
      <c r="E568" s="1">
        <v>43511</v>
      </c>
      <c r="F568" t="s">
        <v>1</v>
      </c>
      <c r="G568" t="s">
        <v>6</v>
      </c>
      <c r="H568">
        <v>250</v>
      </c>
      <c r="I568">
        <v>450</v>
      </c>
      <c r="J568">
        <v>50</v>
      </c>
      <c r="K568">
        <f>Claim[[#This Row],[Monto de prima]]-SUM(Claim[[#This Row],[Costo el reclamo]:[Costo de delivery]])</f>
        <v>-250</v>
      </c>
      <c r="L568" t="s">
        <v>10</v>
      </c>
      <c r="M568" t="s">
        <v>16</v>
      </c>
    </row>
    <row r="569" spans="2:13" x14ac:dyDescent="0.35">
      <c r="B569">
        <v>565</v>
      </c>
      <c r="C569">
        <v>4996</v>
      </c>
      <c r="D569" s="1">
        <v>42140</v>
      </c>
      <c r="E569" s="1">
        <v>42140</v>
      </c>
      <c r="F569" t="s">
        <v>4</v>
      </c>
      <c r="G569" t="s">
        <v>3</v>
      </c>
      <c r="H569">
        <v>1000</v>
      </c>
      <c r="I569">
        <v>550</v>
      </c>
      <c r="J569">
        <v>80</v>
      </c>
      <c r="K569">
        <f>Claim[[#This Row],[Monto de prima]]-SUM(Claim[[#This Row],[Costo el reclamo]:[Costo de delivery]])</f>
        <v>370</v>
      </c>
      <c r="L569" t="s">
        <v>8</v>
      </c>
      <c r="M569" t="s">
        <v>17</v>
      </c>
    </row>
    <row r="570" spans="2:13" x14ac:dyDescent="0.35">
      <c r="B570">
        <v>566</v>
      </c>
      <c r="C570">
        <v>1767</v>
      </c>
      <c r="D570" s="1">
        <v>41024</v>
      </c>
      <c r="E570" s="1">
        <v>42772</v>
      </c>
      <c r="F570" t="s">
        <v>1</v>
      </c>
      <c r="G570" t="s">
        <v>6</v>
      </c>
      <c r="H570">
        <v>250</v>
      </c>
      <c r="I570">
        <v>450</v>
      </c>
      <c r="J570">
        <v>50</v>
      </c>
      <c r="K570">
        <f>Claim[[#This Row],[Monto de prima]]-SUM(Claim[[#This Row],[Costo el reclamo]:[Costo de delivery]])</f>
        <v>-250</v>
      </c>
      <c r="L570" t="s">
        <v>8</v>
      </c>
      <c r="M570" t="s">
        <v>17</v>
      </c>
    </row>
    <row r="571" spans="2:13" x14ac:dyDescent="0.35">
      <c r="B571">
        <v>567</v>
      </c>
      <c r="C571">
        <v>3720</v>
      </c>
      <c r="D571" s="1">
        <v>42306</v>
      </c>
      <c r="E571" s="1">
        <v>43829</v>
      </c>
      <c r="F571" t="s">
        <v>31</v>
      </c>
      <c r="G571" t="s">
        <v>2</v>
      </c>
      <c r="H571">
        <v>2000</v>
      </c>
      <c r="I571">
        <v>800</v>
      </c>
      <c r="J571">
        <v>40</v>
      </c>
      <c r="K571">
        <f>Claim[[#This Row],[Monto de prima]]-SUM(Claim[[#This Row],[Costo el reclamo]:[Costo de delivery]])</f>
        <v>1160</v>
      </c>
      <c r="L571" t="s">
        <v>8</v>
      </c>
      <c r="M571" t="s">
        <v>17</v>
      </c>
    </row>
    <row r="572" spans="2:13" x14ac:dyDescent="0.35">
      <c r="B572">
        <v>568</v>
      </c>
      <c r="C572">
        <v>1962</v>
      </c>
      <c r="D572" s="1">
        <v>41001</v>
      </c>
      <c r="E572" s="1">
        <v>42431</v>
      </c>
      <c r="F572" t="s">
        <v>31</v>
      </c>
      <c r="G572" t="s">
        <v>6</v>
      </c>
      <c r="H572">
        <v>2000</v>
      </c>
      <c r="I572">
        <v>800</v>
      </c>
      <c r="J572">
        <v>20</v>
      </c>
      <c r="K572">
        <f>Claim[[#This Row],[Monto de prima]]-SUM(Claim[[#This Row],[Costo el reclamo]:[Costo de delivery]])</f>
        <v>1180</v>
      </c>
      <c r="L572" t="s">
        <v>12</v>
      </c>
      <c r="M572" t="s">
        <v>19</v>
      </c>
    </row>
    <row r="573" spans="2:13" x14ac:dyDescent="0.35">
      <c r="B573">
        <v>569</v>
      </c>
      <c r="C573">
        <v>1402</v>
      </c>
      <c r="D573" s="1">
        <v>41496</v>
      </c>
      <c r="E573" s="1">
        <v>43537</v>
      </c>
      <c r="F573" t="s">
        <v>4</v>
      </c>
      <c r="G573" t="s">
        <v>5</v>
      </c>
      <c r="H573">
        <v>1000</v>
      </c>
      <c r="I573">
        <v>550</v>
      </c>
      <c r="J573">
        <v>50</v>
      </c>
      <c r="K573">
        <f>Claim[[#This Row],[Monto de prima]]-SUM(Claim[[#This Row],[Costo el reclamo]:[Costo de delivery]])</f>
        <v>400</v>
      </c>
      <c r="L573" t="s">
        <v>10</v>
      </c>
      <c r="M573" t="s">
        <v>16</v>
      </c>
    </row>
    <row r="574" spans="2:13" x14ac:dyDescent="0.35">
      <c r="B574">
        <v>570</v>
      </c>
      <c r="C574">
        <v>1481</v>
      </c>
      <c r="D574" s="1">
        <v>40536</v>
      </c>
      <c r="E574" s="1">
        <v>41468</v>
      </c>
      <c r="F574" t="s">
        <v>31</v>
      </c>
      <c r="G574" t="s">
        <v>5</v>
      </c>
      <c r="H574">
        <v>2000</v>
      </c>
      <c r="I574">
        <v>800</v>
      </c>
      <c r="J574">
        <v>25</v>
      </c>
      <c r="K574">
        <f>Claim[[#This Row],[Monto de prima]]-SUM(Claim[[#This Row],[Costo el reclamo]:[Costo de delivery]])</f>
        <v>1175</v>
      </c>
      <c r="L574" t="s">
        <v>10</v>
      </c>
      <c r="M574" t="s">
        <v>16</v>
      </c>
    </row>
    <row r="575" spans="2:13" x14ac:dyDescent="0.35">
      <c r="B575">
        <v>571</v>
      </c>
      <c r="C575">
        <v>2819</v>
      </c>
      <c r="D575" s="1">
        <v>41422</v>
      </c>
      <c r="E575" s="1">
        <v>41422</v>
      </c>
      <c r="F575" t="s">
        <v>1</v>
      </c>
      <c r="G575" t="s">
        <v>6</v>
      </c>
      <c r="H575">
        <v>250</v>
      </c>
      <c r="I575">
        <v>450</v>
      </c>
      <c r="J575">
        <v>50</v>
      </c>
      <c r="K575">
        <f>Claim[[#This Row],[Monto de prima]]-SUM(Claim[[#This Row],[Costo el reclamo]:[Costo de delivery]])</f>
        <v>-250</v>
      </c>
      <c r="L575" t="s">
        <v>7</v>
      </c>
      <c r="M575" t="s">
        <v>16</v>
      </c>
    </row>
    <row r="576" spans="2:13" x14ac:dyDescent="0.35">
      <c r="B576">
        <v>572</v>
      </c>
      <c r="C576">
        <v>2168</v>
      </c>
      <c r="D576" s="1">
        <v>41259</v>
      </c>
      <c r="E576" s="1">
        <v>43521</v>
      </c>
      <c r="F576" t="s">
        <v>31</v>
      </c>
      <c r="G576" t="s">
        <v>6</v>
      </c>
      <c r="H576">
        <v>2000</v>
      </c>
      <c r="I576">
        <v>800</v>
      </c>
      <c r="J576">
        <v>20</v>
      </c>
      <c r="K576">
        <f>Claim[[#This Row],[Monto de prima]]-SUM(Claim[[#This Row],[Costo el reclamo]:[Costo de delivery]])</f>
        <v>1180</v>
      </c>
      <c r="L576" t="s">
        <v>8</v>
      </c>
      <c r="M576" t="s">
        <v>17</v>
      </c>
    </row>
    <row r="577" spans="2:13" x14ac:dyDescent="0.35">
      <c r="B577">
        <v>573</v>
      </c>
      <c r="C577">
        <v>3956</v>
      </c>
      <c r="D577" s="1">
        <v>42803</v>
      </c>
      <c r="E577" s="1">
        <v>42803</v>
      </c>
      <c r="F577" t="s">
        <v>1</v>
      </c>
      <c r="G577" t="s">
        <v>5</v>
      </c>
      <c r="H577">
        <v>250</v>
      </c>
      <c r="I577">
        <v>450</v>
      </c>
      <c r="J577">
        <v>100</v>
      </c>
      <c r="K577">
        <f>Claim[[#This Row],[Monto de prima]]-SUM(Claim[[#This Row],[Costo el reclamo]:[Costo de delivery]])</f>
        <v>-300</v>
      </c>
      <c r="L577" t="s">
        <v>10</v>
      </c>
      <c r="M577" t="s">
        <v>16</v>
      </c>
    </row>
    <row r="578" spans="2:13" x14ac:dyDescent="0.35">
      <c r="B578">
        <v>574</v>
      </c>
      <c r="C578">
        <v>2092</v>
      </c>
      <c r="D578" s="1">
        <v>41963</v>
      </c>
      <c r="E578" s="1">
        <v>43121</v>
      </c>
      <c r="F578" t="s">
        <v>1</v>
      </c>
      <c r="G578" t="s">
        <v>3</v>
      </c>
      <c r="H578">
        <v>250</v>
      </c>
      <c r="I578">
        <v>450</v>
      </c>
      <c r="J578">
        <v>80</v>
      </c>
      <c r="K578">
        <f>Claim[[#This Row],[Monto de prima]]-SUM(Claim[[#This Row],[Costo el reclamo]:[Costo de delivery]])</f>
        <v>-280</v>
      </c>
      <c r="L578" t="s">
        <v>7</v>
      </c>
      <c r="M578" t="s">
        <v>16</v>
      </c>
    </row>
    <row r="579" spans="2:13" x14ac:dyDescent="0.35">
      <c r="B579">
        <v>575</v>
      </c>
      <c r="C579">
        <v>1803</v>
      </c>
      <c r="D579" s="1">
        <v>41303</v>
      </c>
      <c r="E579" s="1">
        <v>42491</v>
      </c>
      <c r="F579" t="s">
        <v>1</v>
      </c>
      <c r="G579" t="s">
        <v>6</v>
      </c>
      <c r="H579">
        <v>250</v>
      </c>
      <c r="I579">
        <v>450</v>
      </c>
      <c r="J579">
        <v>50</v>
      </c>
      <c r="K579">
        <f>Claim[[#This Row],[Monto de prima]]-SUM(Claim[[#This Row],[Costo el reclamo]:[Costo de delivery]])</f>
        <v>-250</v>
      </c>
      <c r="L579" t="s">
        <v>10</v>
      </c>
      <c r="M579" t="s">
        <v>16</v>
      </c>
    </row>
    <row r="580" spans="2:13" x14ac:dyDescent="0.35">
      <c r="B580">
        <v>576</v>
      </c>
      <c r="C580">
        <v>3263</v>
      </c>
      <c r="D580" s="1">
        <v>42910</v>
      </c>
      <c r="E580" s="1">
        <v>42910</v>
      </c>
      <c r="F580" t="s">
        <v>31</v>
      </c>
      <c r="G580" t="s">
        <v>6</v>
      </c>
      <c r="H580">
        <v>2000</v>
      </c>
      <c r="I580">
        <v>800</v>
      </c>
      <c r="J580">
        <v>20</v>
      </c>
      <c r="K580">
        <f>Claim[[#This Row],[Monto de prima]]-SUM(Claim[[#This Row],[Costo el reclamo]:[Costo de delivery]])</f>
        <v>1180</v>
      </c>
      <c r="L580" t="s">
        <v>12</v>
      </c>
      <c r="M580" t="s">
        <v>19</v>
      </c>
    </row>
    <row r="581" spans="2:13" x14ac:dyDescent="0.35">
      <c r="B581">
        <v>577</v>
      </c>
      <c r="C581">
        <v>4302</v>
      </c>
      <c r="D581" s="1">
        <v>42187</v>
      </c>
      <c r="E581" s="1">
        <v>42187</v>
      </c>
      <c r="F581" t="s">
        <v>1</v>
      </c>
      <c r="G581" t="s">
        <v>2</v>
      </c>
      <c r="H581">
        <v>250</v>
      </c>
      <c r="I581">
        <v>450</v>
      </c>
      <c r="J581">
        <v>30</v>
      </c>
      <c r="K581">
        <f>Claim[[#This Row],[Monto de prima]]-SUM(Claim[[#This Row],[Costo el reclamo]:[Costo de delivery]])</f>
        <v>-230</v>
      </c>
      <c r="L581" t="s">
        <v>13</v>
      </c>
      <c r="M581" t="s">
        <v>14</v>
      </c>
    </row>
    <row r="582" spans="2:13" x14ac:dyDescent="0.35">
      <c r="B582">
        <v>578</v>
      </c>
      <c r="C582">
        <v>2140</v>
      </c>
      <c r="D582" s="1">
        <v>41274</v>
      </c>
      <c r="E582" s="1">
        <v>43825</v>
      </c>
      <c r="F582" t="s">
        <v>1</v>
      </c>
      <c r="G582" t="s">
        <v>5</v>
      </c>
      <c r="H582">
        <v>250</v>
      </c>
      <c r="I582">
        <v>450</v>
      </c>
      <c r="J582">
        <v>100</v>
      </c>
      <c r="K582">
        <f>Claim[[#This Row],[Monto de prima]]-SUM(Claim[[#This Row],[Costo el reclamo]:[Costo de delivery]])</f>
        <v>-300</v>
      </c>
      <c r="L582" t="s">
        <v>10</v>
      </c>
      <c r="M582" t="s">
        <v>16</v>
      </c>
    </row>
    <row r="583" spans="2:13" x14ac:dyDescent="0.35">
      <c r="B583">
        <v>579</v>
      </c>
      <c r="C583">
        <v>1345</v>
      </c>
      <c r="D583" s="1">
        <v>42470</v>
      </c>
      <c r="E583" s="1">
        <v>43068</v>
      </c>
      <c r="F583" t="s">
        <v>30</v>
      </c>
      <c r="G583" t="s">
        <v>6</v>
      </c>
      <c r="H583">
        <v>600</v>
      </c>
      <c r="I583">
        <v>200</v>
      </c>
      <c r="J583">
        <v>15</v>
      </c>
      <c r="K583">
        <f>Claim[[#This Row],[Monto de prima]]-SUM(Claim[[#This Row],[Costo el reclamo]:[Costo de delivery]])</f>
        <v>385</v>
      </c>
      <c r="L583" t="s">
        <v>10</v>
      </c>
      <c r="M583" t="s">
        <v>16</v>
      </c>
    </row>
    <row r="584" spans="2:13" x14ac:dyDescent="0.35">
      <c r="B584">
        <v>580</v>
      </c>
      <c r="C584">
        <v>2507</v>
      </c>
      <c r="D584" s="1">
        <v>42587</v>
      </c>
      <c r="E584" s="1">
        <v>43624</v>
      </c>
      <c r="F584" t="s">
        <v>30</v>
      </c>
      <c r="G584" t="s">
        <v>3</v>
      </c>
      <c r="H584">
        <v>600</v>
      </c>
      <c r="I584">
        <v>200</v>
      </c>
      <c r="J584">
        <v>20</v>
      </c>
      <c r="K584">
        <f>Claim[[#This Row],[Monto de prima]]-SUM(Claim[[#This Row],[Costo el reclamo]:[Costo de delivery]])</f>
        <v>380</v>
      </c>
      <c r="L584" t="s">
        <v>8</v>
      </c>
      <c r="M584" t="s">
        <v>17</v>
      </c>
    </row>
    <row r="585" spans="2:13" x14ac:dyDescent="0.35">
      <c r="B585">
        <v>581</v>
      </c>
      <c r="C585">
        <v>4566</v>
      </c>
      <c r="D585" s="1">
        <v>43080</v>
      </c>
      <c r="E585" s="1">
        <v>43395</v>
      </c>
      <c r="F585" t="s">
        <v>1</v>
      </c>
      <c r="G585" t="s">
        <v>3</v>
      </c>
      <c r="H585">
        <v>250</v>
      </c>
      <c r="I585">
        <v>450</v>
      </c>
      <c r="J585">
        <v>80</v>
      </c>
      <c r="K585">
        <f>Claim[[#This Row],[Monto de prima]]-SUM(Claim[[#This Row],[Costo el reclamo]:[Costo de delivery]])</f>
        <v>-280</v>
      </c>
      <c r="L585" t="s">
        <v>10</v>
      </c>
      <c r="M585" t="s">
        <v>16</v>
      </c>
    </row>
    <row r="586" spans="2:13" x14ac:dyDescent="0.35">
      <c r="B586">
        <v>582</v>
      </c>
      <c r="C586">
        <v>4248</v>
      </c>
      <c r="D586" s="1">
        <v>41228</v>
      </c>
      <c r="E586" s="1">
        <v>42095</v>
      </c>
      <c r="F586" t="s">
        <v>31</v>
      </c>
      <c r="G586" t="s">
        <v>3</v>
      </c>
      <c r="H586">
        <v>2000</v>
      </c>
      <c r="I586">
        <v>800</v>
      </c>
      <c r="J586">
        <v>30</v>
      </c>
      <c r="K586">
        <f>Claim[[#This Row],[Monto de prima]]-SUM(Claim[[#This Row],[Costo el reclamo]:[Costo de delivery]])</f>
        <v>1170</v>
      </c>
      <c r="L586" t="s">
        <v>9</v>
      </c>
      <c r="M586" t="s">
        <v>15</v>
      </c>
    </row>
    <row r="587" spans="2:13" x14ac:dyDescent="0.35">
      <c r="B587">
        <v>583</v>
      </c>
      <c r="C587">
        <v>1839</v>
      </c>
      <c r="D587" s="1">
        <v>40376</v>
      </c>
      <c r="E587" s="1">
        <v>41274</v>
      </c>
      <c r="F587" t="s">
        <v>1</v>
      </c>
      <c r="G587" t="s">
        <v>3</v>
      </c>
      <c r="H587">
        <v>250</v>
      </c>
      <c r="I587">
        <v>450</v>
      </c>
      <c r="J587">
        <v>80</v>
      </c>
      <c r="K587">
        <f>Claim[[#This Row],[Monto de prima]]-SUM(Claim[[#This Row],[Costo el reclamo]:[Costo de delivery]])</f>
        <v>-280</v>
      </c>
      <c r="L587" t="s">
        <v>12</v>
      </c>
      <c r="M587" t="s">
        <v>19</v>
      </c>
    </row>
    <row r="588" spans="2:13" x14ac:dyDescent="0.35">
      <c r="B588">
        <v>584</v>
      </c>
      <c r="C588">
        <v>3048</v>
      </c>
      <c r="D588" s="1">
        <v>40351</v>
      </c>
      <c r="E588" s="1">
        <v>41570</v>
      </c>
      <c r="F588" t="s">
        <v>1</v>
      </c>
      <c r="G588" t="s">
        <v>5</v>
      </c>
      <c r="H588">
        <v>250</v>
      </c>
      <c r="I588">
        <v>450</v>
      </c>
      <c r="J588">
        <v>100</v>
      </c>
      <c r="K588">
        <f>Claim[[#This Row],[Monto de prima]]-SUM(Claim[[#This Row],[Costo el reclamo]:[Costo de delivery]])</f>
        <v>-300</v>
      </c>
      <c r="L588" t="s">
        <v>9</v>
      </c>
      <c r="M588" t="s">
        <v>15</v>
      </c>
    </row>
    <row r="589" spans="2:13" x14ac:dyDescent="0.35">
      <c r="B589">
        <v>585</v>
      </c>
      <c r="C589">
        <v>2861</v>
      </c>
      <c r="D589" s="1">
        <v>40711</v>
      </c>
      <c r="E589" s="1">
        <v>43388</v>
      </c>
      <c r="F589" t="s">
        <v>4</v>
      </c>
      <c r="G589" t="s">
        <v>3</v>
      </c>
      <c r="H589">
        <v>1000</v>
      </c>
      <c r="I589">
        <v>550</v>
      </c>
      <c r="J589">
        <v>80</v>
      </c>
      <c r="K589">
        <f>Claim[[#This Row],[Monto de prima]]-SUM(Claim[[#This Row],[Costo el reclamo]:[Costo de delivery]])</f>
        <v>370</v>
      </c>
      <c r="L589" t="s">
        <v>11</v>
      </c>
      <c r="M589" t="s">
        <v>18</v>
      </c>
    </row>
    <row r="590" spans="2:13" x14ac:dyDescent="0.35">
      <c r="B590">
        <v>586</v>
      </c>
      <c r="C590">
        <v>3146</v>
      </c>
      <c r="D590" s="1">
        <v>41980</v>
      </c>
      <c r="E590" s="1">
        <v>43837</v>
      </c>
      <c r="F590" t="s">
        <v>4</v>
      </c>
      <c r="G590" t="s">
        <v>5</v>
      </c>
      <c r="H590">
        <v>1000</v>
      </c>
      <c r="I590">
        <v>550</v>
      </c>
      <c r="J590">
        <v>50</v>
      </c>
      <c r="K590">
        <f>Claim[[#This Row],[Monto de prima]]-SUM(Claim[[#This Row],[Costo el reclamo]:[Costo de delivery]])</f>
        <v>400</v>
      </c>
      <c r="L590" t="s">
        <v>7</v>
      </c>
      <c r="M590" t="s">
        <v>16</v>
      </c>
    </row>
    <row r="591" spans="2:13" x14ac:dyDescent="0.35">
      <c r="B591">
        <v>587</v>
      </c>
      <c r="C591">
        <v>4268</v>
      </c>
      <c r="D591" s="1">
        <v>42224</v>
      </c>
      <c r="E591" s="1">
        <v>43382</v>
      </c>
      <c r="F591" t="s">
        <v>4</v>
      </c>
      <c r="G591" t="s">
        <v>3</v>
      </c>
      <c r="H591">
        <v>1000</v>
      </c>
      <c r="I591">
        <v>550</v>
      </c>
      <c r="J591">
        <v>80</v>
      </c>
      <c r="K591">
        <f>Claim[[#This Row],[Monto de prima]]-SUM(Claim[[#This Row],[Costo el reclamo]:[Costo de delivery]])</f>
        <v>370</v>
      </c>
      <c r="L591" t="s">
        <v>8</v>
      </c>
      <c r="M591" t="s">
        <v>17</v>
      </c>
    </row>
    <row r="592" spans="2:13" x14ac:dyDescent="0.35">
      <c r="B592">
        <v>588</v>
      </c>
      <c r="C592">
        <v>3303</v>
      </c>
      <c r="D592" s="1">
        <v>42833</v>
      </c>
      <c r="E592" s="1">
        <v>43118</v>
      </c>
      <c r="F592" t="s">
        <v>30</v>
      </c>
      <c r="G592" t="s">
        <v>2</v>
      </c>
      <c r="H592">
        <v>600</v>
      </c>
      <c r="I592">
        <v>200</v>
      </c>
      <c r="J592">
        <v>35</v>
      </c>
      <c r="K592">
        <f>Claim[[#This Row],[Monto de prima]]-SUM(Claim[[#This Row],[Costo el reclamo]:[Costo de delivery]])</f>
        <v>365</v>
      </c>
      <c r="L592" t="s">
        <v>11</v>
      </c>
      <c r="M592" t="s">
        <v>18</v>
      </c>
    </row>
    <row r="593" spans="2:13" x14ac:dyDescent="0.35">
      <c r="B593">
        <v>589</v>
      </c>
      <c r="C593">
        <v>2125</v>
      </c>
      <c r="D593" s="1">
        <v>40319</v>
      </c>
      <c r="E593" s="1">
        <v>41710</v>
      </c>
      <c r="F593" t="s">
        <v>1</v>
      </c>
      <c r="G593" t="s">
        <v>5</v>
      </c>
      <c r="H593">
        <v>250</v>
      </c>
      <c r="I593">
        <v>450</v>
      </c>
      <c r="J593">
        <v>100</v>
      </c>
      <c r="K593">
        <f>Claim[[#This Row],[Monto de prima]]-SUM(Claim[[#This Row],[Costo el reclamo]:[Costo de delivery]])</f>
        <v>-300</v>
      </c>
      <c r="L593" t="s">
        <v>13</v>
      </c>
      <c r="M593" t="s">
        <v>14</v>
      </c>
    </row>
    <row r="594" spans="2:13" x14ac:dyDescent="0.35">
      <c r="B594">
        <v>590</v>
      </c>
      <c r="C594">
        <v>3309</v>
      </c>
      <c r="D594" s="1">
        <v>41310</v>
      </c>
      <c r="E594" s="1">
        <v>42827</v>
      </c>
      <c r="F594" t="s">
        <v>30</v>
      </c>
      <c r="G594" t="s">
        <v>2</v>
      </c>
      <c r="H594">
        <v>600</v>
      </c>
      <c r="I594">
        <v>200</v>
      </c>
      <c r="J594">
        <v>35</v>
      </c>
      <c r="K594">
        <f>Claim[[#This Row],[Monto de prima]]-SUM(Claim[[#This Row],[Costo el reclamo]:[Costo de delivery]])</f>
        <v>365</v>
      </c>
      <c r="L594" t="s">
        <v>7</v>
      </c>
      <c r="M594" t="s">
        <v>16</v>
      </c>
    </row>
    <row r="595" spans="2:13" x14ac:dyDescent="0.35">
      <c r="B595">
        <v>591</v>
      </c>
      <c r="C595">
        <v>4783</v>
      </c>
      <c r="D595" s="1">
        <v>40960</v>
      </c>
      <c r="E595" s="1">
        <v>43253</v>
      </c>
      <c r="F595" t="s">
        <v>30</v>
      </c>
      <c r="G595" t="s">
        <v>5</v>
      </c>
      <c r="H595">
        <v>600</v>
      </c>
      <c r="I595">
        <v>200</v>
      </c>
      <c r="J595">
        <v>50</v>
      </c>
      <c r="K595">
        <f>Claim[[#This Row],[Monto de prima]]-SUM(Claim[[#This Row],[Costo el reclamo]:[Costo de delivery]])</f>
        <v>350</v>
      </c>
      <c r="L595" t="s">
        <v>13</v>
      </c>
      <c r="M595" t="s">
        <v>14</v>
      </c>
    </row>
    <row r="596" spans="2:13" x14ac:dyDescent="0.35">
      <c r="B596">
        <v>592</v>
      </c>
      <c r="C596">
        <v>2799</v>
      </c>
      <c r="D596" s="1">
        <v>42505</v>
      </c>
      <c r="E596" s="1">
        <v>42505</v>
      </c>
      <c r="F596" t="s">
        <v>31</v>
      </c>
      <c r="G596" t="s">
        <v>6</v>
      </c>
      <c r="H596">
        <v>2000</v>
      </c>
      <c r="I596">
        <v>800</v>
      </c>
      <c r="J596">
        <v>20</v>
      </c>
      <c r="K596">
        <f>Claim[[#This Row],[Monto de prima]]-SUM(Claim[[#This Row],[Costo el reclamo]:[Costo de delivery]])</f>
        <v>1180</v>
      </c>
      <c r="L596" t="s">
        <v>13</v>
      </c>
      <c r="M596" t="s">
        <v>14</v>
      </c>
    </row>
    <row r="597" spans="2:13" x14ac:dyDescent="0.35">
      <c r="B597">
        <v>593</v>
      </c>
      <c r="C597">
        <v>2257</v>
      </c>
      <c r="D597" s="1">
        <v>40596</v>
      </c>
      <c r="E597" s="1">
        <v>43356</v>
      </c>
      <c r="F597" t="s">
        <v>30</v>
      </c>
      <c r="G597" t="s">
        <v>5</v>
      </c>
      <c r="H597">
        <v>600</v>
      </c>
      <c r="I597">
        <v>200</v>
      </c>
      <c r="J597">
        <v>50</v>
      </c>
      <c r="K597">
        <f>Claim[[#This Row],[Monto de prima]]-SUM(Claim[[#This Row],[Costo el reclamo]:[Costo de delivery]])</f>
        <v>350</v>
      </c>
      <c r="L597" t="s">
        <v>11</v>
      </c>
      <c r="M597" t="s">
        <v>18</v>
      </c>
    </row>
    <row r="598" spans="2:13" x14ac:dyDescent="0.35">
      <c r="B598">
        <v>594</v>
      </c>
      <c r="C598">
        <v>4931</v>
      </c>
      <c r="D598" s="1">
        <v>40913</v>
      </c>
      <c r="E598" s="1">
        <v>41836</v>
      </c>
      <c r="F598" t="s">
        <v>4</v>
      </c>
      <c r="G598" t="s">
        <v>5</v>
      </c>
      <c r="H598">
        <v>1000</v>
      </c>
      <c r="I598">
        <v>550</v>
      </c>
      <c r="J598">
        <v>50</v>
      </c>
      <c r="K598">
        <f>Claim[[#This Row],[Monto de prima]]-SUM(Claim[[#This Row],[Costo el reclamo]:[Costo de delivery]])</f>
        <v>400</v>
      </c>
      <c r="L598" t="s">
        <v>10</v>
      </c>
      <c r="M598" t="s">
        <v>16</v>
      </c>
    </row>
    <row r="599" spans="2:13" x14ac:dyDescent="0.35">
      <c r="B599">
        <v>595</v>
      </c>
      <c r="C599">
        <v>1025</v>
      </c>
      <c r="D599" s="1">
        <v>40286</v>
      </c>
      <c r="E599" s="1">
        <v>43305</v>
      </c>
      <c r="F599" t="s">
        <v>31</v>
      </c>
      <c r="G599" t="s">
        <v>5</v>
      </c>
      <c r="H599">
        <v>2000</v>
      </c>
      <c r="I599">
        <v>800</v>
      </c>
      <c r="J599">
        <v>25</v>
      </c>
      <c r="K599">
        <f>Claim[[#This Row],[Monto de prima]]-SUM(Claim[[#This Row],[Costo el reclamo]:[Costo de delivery]])</f>
        <v>1175</v>
      </c>
      <c r="L599" t="s">
        <v>8</v>
      </c>
      <c r="M599" t="s">
        <v>17</v>
      </c>
    </row>
    <row r="600" spans="2:13" x14ac:dyDescent="0.35">
      <c r="B600">
        <v>596</v>
      </c>
      <c r="C600">
        <v>3099</v>
      </c>
      <c r="D600" s="1">
        <v>41483</v>
      </c>
      <c r="E600" s="1">
        <v>42424</v>
      </c>
      <c r="F600" t="s">
        <v>31</v>
      </c>
      <c r="G600" t="s">
        <v>6</v>
      </c>
      <c r="H600">
        <v>2000</v>
      </c>
      <c r="I600">
        <v>800</v>
      </c>
      <c r="J600">
        <v>20</v>
      </c>
      <c r="K600">
        <f>Claim[[#This Row],[Monto de prima]]-SUM(Claim[[#This Row],[Costo el reclamo]:[Costo de delivery]])</f>
        <v>1180</v>
      </c>
      <c r="L600" t="s">
        <v>11</v>
      </c>
      <c r="M600" t="s">
        <v>18</v>
      </c>
    </row>
    <row r="601" spans="2:13" x14ac:dyDescent="0.35">
      <c r="B601">
        <v>597</v>
      </c>
      <c r="C601">
        <v>3771</v>
      </c>
      <c r="D601" s="1">
        <v>42678</v>
      </c>
      <c r="E601" s="1">
        <v>43155</v>
      </c>
      <c r="F601" t="s">
        <v>4</v>
      </c>
      <c r="G601" t="s">
        <v>3</v>
      </c>
      <c r="H601">
        <v>1000</v>
      </c>
      <c r="I601">
        <v>550</v>
      </c>
      <c r="J601">
        <v>80</v>
      </c>
      <c r="K601">
        <f>Claim[[#This Row],[Monto de prima]]-SUM(Claim[[#This Row],[Costo el reclamo]:[Costo de delivery]])</f>
        <v>370</v>
      </c>
      <c r="L601" t="s">
        <v>9</v>
      </c>
      <c r="M601" t="s">
        <v>15</v>
      </c>
    </row>
    <row r="602" spans="2:13" x14ac:dyDescent="0.35">
      <c r="B602">
        <v>598</v>
      </c>
      <c r="C602">
        <v>2360</v>
      </c>
      <c r="D602" s="1">
        <v>40637</v>
      </c>
      <c r="E602" s="1">
        <v>42566</v>
      </c>
      <c r="F602" t="s">
        <v>4</v>
      </c>
      <c r="G602" t="s">
        <v>5</v>
      </c>
      <c r="H602">
        <v>1000</v>
      </c>
      <c r="I602">
        <v>550</v>
      </c>
      <c r="J602">
        <v>50</v>
      </c>
      <c r="K602">
        <f>Claim[[#This Row],[Monto de prima]]-SUM(Claim[[#This Row],[Costo el reclamo]:[Costo de delivery]])</f>
        <v>400</v>
      </c>
      <c r="L602" t="s">
        <v>13</v>
      </c>
      <c r="M602" t="s">
        <v>14</v>
      </c>
    </row>
    <row r="603" spans="2:13" x14ac:dyDescent="0.35">
      <c r="B603">
        <v>599</v>
      </c>
      <c r="C603">
        <v>3199</v>
      </c>
      <c r="D603" s="1">
        <v>40836</v>
      </c>
      <c r="E603" s="1">
        <v>43083</v>
      </c>
      <c r="F603" t="s">
        <v>4</v>
      </c>
      <c r="G603" t="s">
        <v>2</v>
      </c>
      <c r="H603">
        <v>1000</v>
      </c>
      <c r="I603">
        <v>550</v>
      </c>
      <c r="J603">
        <v>50</v>
      </c>
      <c r="K603">
        <f>Claim[[#This Row],[Monto de prima]]-SUM(Claim[[#This Row],[Costo el reclamo]:[Costo de delivery]])</f>
        <v>400</v>
      </c>
      <c r="L603" t="s">
        <v>9</v>
      </c>
      <c r="M603" t="s">
        <v>15</v>
      </c>
    </row>
    <row r="604" spans="2:13" x14ac:dyDescent="0.35">
      <c r="B604">
        <v>600</v>
      </c>
      <c r="C604">
        <v>2129</v>
      </c>
      <c r="D604" s="1">
        <v>40573</v>
      </c>
      <c r="E604" s="1">
        <v>42215</v>
      </c>
      <c r="F604" t="s">
        <v>1</v>
      </c>
      <c r="G604" t="s">
        <v>6</v>
      </c>
      <c r="H604">
        <v>250</v>
      </c>
      <c r="I604">
        <v>450</v>
      </c>
      <c r="J604">
        <v>50</v>
      </c>
      <c r="K604">
        <f>Claim[[#This Row],[Monto de prima]]-SUM(Claim[[#This Row],[Costo el reclamo]:[Costo de delivery]])</f>
        <v>-250</v>
      </c>
      <c r="L604" t="s">
        <v>12</v>
      </c>
      <c r="M604" t="s">
        <v>19</v>
      </c>
    </row>
    <row r="605" spans="2:13" x14ac:dyDescent="0.35">
      <c r="B605">
        <v>601</v>
      </c>
      <c r="C605">
        <v>1185</v>
      </c>
      <c r="D605" s="1">
        <v>42038</v>
      </c>
      <c r="E605" s="1">
        <v>42038</v>
      </c>
      <c r="F605" t="s">
        <v>1</v>
      </c>
      <c r="G605" t="s">
        <v>3</v>
      </c>
      <c r="H605">
        <v>250</v>
      </c>
      <c r="I605">
        <v>450</v>
      </c>
      <c r="J605">
        <v>80</v>
      </c>
      <c r="K605">
        <f>Claim[[#This Row],[Monto de prima]]-SUM(Claim[[#This Row],[Costo el reclamo]:[Costo de delivery]])</f>
        <v>-280</v>
      </c>
      <c r="L605" t="s">
        <v>13</v>
      </c>
      <c r="M605" t="s">
        <v>14</v>
      </c>
    </row>
    <row r="606" spans="2:13" x14ac:dyDescent="0.35">
      <c r="B606">
        <v>602</v>
      </c>
      <c r="C606">
        <v>4740</v>
      </c>
      <c r="D606" s="1">
        <v>42139</v>
      </c>
      <c r="E606" s="1">
        <v>42139</v>
      </c>
      <c r="F606" t="s">
        <v>1</v>
      </c>
      <c r="G606" t="s">
        <v>6</v>
      </c>
      <c r="H606">
        <v>250</v>
      </c>
      <c r="I606">
        <v>450</v>
      </c>
      <c r="J606">
        <v>50</v>
      </c>
      <c r="K606">
        <f>Claim[[#This Row],[Monto de prima]]-SUM(Claim[[#This Row],[Costo el reclamo]:[Costo de delivery]])</f>
        <v>-250</v>
      </c>
      <c r="L606" t="s">
        <v>7</v>
      </c>
      <c r="M606" t="s">
        <v>16</v>
      </c>
    </row>
    <row r="607" spans="2:13" x14ac:dyDescent="0.35">
      <c r="B607">
        <v>603</v>
      </c>
      <c r="C607">
        <v>1406</v>
      </c>
      <c r="D607" s="1">
        <v>41267</v>
      </c>
      <c r="E607" s="1">
        <v>41491</v>
      </c>
      <c r="F607" t="s">
        <v>1</v>
      </c>
      <c r="G607" t="s">
        <v>6</v>
      </c>
      <c r="H607">
        <v>250</v>
      </c>
      <c r="I607">
        <v>450</v>
      </c>
      <c r="J607">
        <v>50</v>
      </c>
      <c r="K607">
        <f>Claim[[#This Row],[Monto de prima]]-SUM(Claim[[#This Row],[Costo el reclamo]:[Costo de delivery]])</f>
        <v>-250</v>
      </c>
      <c r="L607" t="s">
        <v>12</v>
      </c>
      <c r="M607" t="s">
        <v>19</v>
      </c>
    </row>
    <row r="608" spans="2:13" x14ac:dyDescent="0.35">
      <c r="B608">
        <v>604</v>
      </c>
      <c r="C608">
        <v>2391</v>
      </c>
      <c r="D608" s="1">
        <v>42001</v>
      </c>
      <c r="E608" s="1">
        <v>43528</v>
      </c>
      <c r="F608" t="s">
        <v>30</v>
      </c>
      <c r="G608" t="s">
        <v>6</v>
      </c>
      <c r="H608">
        <v>600</v>
      </c>
      <c r="I608">
        <v>200</v>
      </c>
      <c r="J608">
        <v>15</v>
      </c>
      <c r="K608">
        <f>Claim[[#This Row],[Monto de prima]]-SUM(Claim[[#This Row],[Costo el reclamo]:[Costo de delivery]])</f>
        <v>385</v>
      </c>
      <c r="L608" t="s">
        <v>12</v>
      </c>
      <c r="M608" t="s">
        <v>19</v>
      </c>
    </row>
    <row r="609" spans="2:13" x14ac:dyDescent="0.35">
      <c r="B609">
        <v>605</v>
      </c>
      <c r="C609">
        <v>4347</v>
      </c>
      <c r="D609" s="1">
        <v>43044</v>
      </c>
      <c r="E609" s="1">
        <v>43405</v>
      </c>
      <c r="F609" t="s">
        <v>1</v>
      </c>
      <c r="G609" t="s">
        <v>2</v>
      </c>
      <c r="H609">
        <v>250</v>
      </c>
      <c r="I609">
        <v>450</v>
      </c>
      <c r="J609">
        <v>30</v>
      </c>
      <c r="K609">
        <f>Claim[[#This Row],[Monto de prima]]-SUM(Claim[[#This Row],[Costo el reclamo]:[Costo de delivery]])</f>
        <v>-230</v>
      </c>
      <c r="L609" t="s">
        <v>12</v>
      </c>
      <c r="M609" t="s">
        <v>19</v>
      </c>
    </row>
    <row r="610" spans="2:13" x14ac:dyDescent="0.35">
      <c r="B610">
        <v>606</v>
      </c>
      <c r="C610">
        <v>3924</v>
      </c>
      <c r="D610" s="1">
        <v>43014</v>
      </c>
      <c r="E610" s="1">
        <v>43014</v>
      </c>
      <c r="F610" t="s">
        <v>31</v>
      </c>
      <c r="G610" t="s">
        <v>5</v>
      </c>
      <c r="H610">
        <v>2000</v>
      </c>
      <c r="I610">
        <v>800</v>
      </c>
      <c r="J610">
        <v>25</v>
      </c>
      <c r="K610">
        <f>Claim[[#This Row],[Monto de prima]]-SUM(Claim[[#This Row],[Costo el reclamo]:[Costo de delivery]])</f>
        <v>1175</v>
      </c>
      <c r="L610" t="s">
        <v>7</v>
      </c>
      <c r="M610" t="s">
        <v>16</v>
      </c>
    </row>
    <row r="611" spans="2:13" x14ac:dyDescent="0.35">
      <c r="B611">
        <v>607</v>
      </c>
      <c r="C611">
        <v>2791</v>
      </c>
      <c r="D611" s="1">
        <v>41881</v>
      </c>
      <c r="E611" s="1">
        <v>41881</v>
      </c>
      <c r="F611" t="s">
        <v>4</v>
      </c>
      <c r="G611" t="s">
        <v>6</v>
      </c>
      <c r="H611">
        <v>1000</v>
      </c>
      <c r="I611">
        <v>550</v>
      </c>
      <c r="J611">
        <v>30</v>
      </c>
      <c r="K611">
        <f>Claim[[#This Row],[Monto de prima]]-SUM(Claim[[#This Row],[Costo el reclamo]:[Costo de delivery]])</f>
        <v>420</v>
      </c>
      <c r="L611" t="s">
        <v>9</v>
      </c>
      <c r="M611" t="s">
        <v>15</v>
      </c>
    </row>
    <row r="612" spans="2:13" x14ac:dyDescent="0.35">
      <c r="B612">
        <v>608</v>
      </c>
      <c r="C612">
        <v>2347</v>
      </c>
      <c r="D612" s="1">
        <v>40246</v>
      </c>
      <c r="E612" s="1">
        <v>42281</v>
      </c>
      <c r="F612" t="s">
        <v>1</v>
      </c>
      <c r="G612" t="s">
        <v>5</v>
      </c>
      <c r="H612">
        <v>250</v>
      </c>
      <c r="I612">
        <v>450</v>
      </c>
      <c r="J612">
        <v>100</v>
      </c>
      <c r="K612">
        <f>Claim[[#This Row],[Monto de prima]]-SUM(Claim[[#This Row],[Costo el reclamo]:[Costo de delivery]])</f>
        <v>-300</v>
      </c>
      <c r="L612" t="s">
        <v>13</v>
      </c>
      <c r="M612" t="s">
        <v>14</v>
      </c>
    </row>
    <row r="613" spans="2:13" x14ac:dyDescent="0.35">
      <c r="B613">
        <v>609</v>
      </c>
      <c r="C613">
        <v>3546</v>
      </c>
      <c r="D613" s="1">
        <v>42252</v>
      </c>
      <c r="E613" s="1">
        <v>43426</v>
      </c>
      <c r="F613" t="s">
        <v>1</v>
      </c>
      <c r="G613" t="s">
        <v>3</v>
      </c>
      <c r="H613">
        <v>250</v>
      </c>
      <c r="I613">
        <v>450</v>
      </c>
      <c r="J613">
        <v>80</v>
      </c>
      <c r="K613">
        <f>Claim[[#This Row],[Monto de prima]]-SUM(Claim[[#This Row],[Costo el reclamo]:[Costo de delivery]])</f>
        <v>-280</v>
      </c>
      <c r="L613" t="s">
        <v>13</v>
      </c>
      <c r="M613" t="s">
        <v>14</v>
      </c>
    </row>
    <row r="614" spans="2:13" x14ac:dyDescent="0.35">
      <c r="B614">
        <v>610</v>
      </c>
      <c r="C614">
        <v>1639</v>
      </c>
      <c r="D614" s="1">
        <v>41844</v>
      </c>
      <c r="E614" s="1">
        <v>41844</v>
      </c>
      <c r="F614" t="s">
        <v>1</v>
      </c>
      <c r="G614" t="s">
        <v>6</v>
      </c>
      <c r="H614">
        <v>250</v>
      </c>
      <c r="I614">
        <v>450</v>
      </c>
      <c r="J614">
        <v>50</v>
      </c>
      <c r="K614">
        <f>Claim[[#This Row],[Monto de prima]]-SUM(Claim[[#This Row],[Costo el reclamo]:[Costo de delivery]])</f>
        <v>-250</v>
      </c>
      <c r="L614" t="s">
        <v>8</v>
      </c>
      <c r="M614" t="s">
        <v>17</v>
      </c>
    </row>
    <row r="615" spans="2:13" x14ac:dyDescent="0.35">
      <c r="B615">
        <v>611</v>
      </c>
      <c r="C615">
        <v>3418</v>
      </c>
      <c r="D615" s="1">
        <v>40555</v>
      </c>
      <c r="E615" s="1">
        <v>41692</v>
      </c>
      <c r="F615" t="s">
        <v>4</v>
      </c>
      <c r="G615" t="s">
        <v>3</v>
      </c>
      <c r="H615">
        <v>1000</v>
      </c>
      <c r="I615">
        <v>550</v>
      </c>
      <c r="J615">
        <v>80</v>
      </c>
      <c r="K615">
        <f>Claim[[#This Row],[Monto de prima]]-SUM(Claim[[#This Row],[Costo el reclamo]:[Costo de delivery]])</f>
        <v>370</v>
      </c>
      <c r="L615" t="s">
        <v>8</v>
      </c>
      <c r="M615" t="s">
        <v>17</v>
      </c>
    </row>
    <row r="616" spans="2:13" x14ac:dyDescent="0.35">
      <c r="B616">
        <v>612</v>
      </c>
      <c r="C616">
        <v>4549</v>
      </c>
      <c r="D616" s="1">
        <v>41987</v>
      </c>
      <c r="E616" s="1">
        <v>42445</v>
      </c>
      <c r="F616" t="s">
        <v>31</v>
      </c>
      <c r="G616" t="s">
        <v>5</v>
      </c>
      <c r="H616">
        <v>2000</v>
      </c>
      <c r="I616">
        <v>800</v>
      </c>
      <c r="J616">
        <v>25</v>
      </c>
      <c r="K616">
        <f>Claim[[#This Row],[Monto de prima]]-SUM(Claim[[#This Row],[Costo el reclamo]:[Costo de delivery]])</f>
        <v>1175</v>
      </c>
      <c r="L616" t="s">
        <v>11</v>
      </c>
      <c r="M616" t="s">
        <v>18</v>
      </c>
    </row>
    <row r="617" spans="2:13" x14ac:dyDescent="0.35">
      <c r="B617">
        <v>613</v>
      </c>
      <c r="C617">
        <v>4331</v>
      </c>
      <c r="D617" s="1">
        <v>42427</v>
      </c>
      <c r="E617" s="1">
        <v>42427</v>
      </c>
      <c r="F617" t="s">
        <v>30</v>
      </c>
      <c r="G617" t="s">
        <v>5</v>
      </c>
      <c r="H617">
        <v>600</v>
      </c>
      <c r="I617">
        <v>200</v>
      </c>
      <c r="J617">
        <v>50</v>
      </c>
      <c r="K617">
        <f>Claim[[#This Row],[Monto de prima]]-SUM(Claim[[#This Row],[Costo el reclamo]:[Costo de delivery]])</f>
        <v>350</v>
      </c>
      <c r="L617" t="s">
        <v>13</v>
      </c>
      <c r="M617" t="s">
        <v>14</v>
      </c>
    </row>
    <row r="618" spans="2:13" x14ac:dyDescent="0.35">
      <c r="B618">
        <v>614</v>
      </c>
      <c r="C618">
        <v>3131</v>
      </c>
      <c r="D618" s="1">
        <v>42526</v>
      </c>
      <c r="E618" s="1">
        <v>42526</v>
      </c>
      <c r="F618" t="s">
        <v>30</v>
      </c>
      <c r="G618" t="s">
        <v>5</v>
      </c>
      <c r="H618">
        <v>600</v>
      </c>
      <c r="I618">
        <v>200</v>
      </c>
      <c r="J618">
        <v>50</v>
      </c>
      <c r="K618">
        <f>Claim[[#This Row],[Monto de prima]]-SUM(Claim[[#This Row],[Costo el reclamo]:[Costo de delivery]])</f>
        <v>350</v>
      </c>
      <c r="L618" t="s">
        <v>11</v>
      </c>
      <c r="M618" t="s">
        <v>18</v>
      </c>
    </row>
    <row r="619" spans="2:13" x14ac:dyDescent="0.35">
      <c r="B619">
        <v>615</v>
      </c>
      <c r="C619">
        <v>3519</v>
      </c>
      <c r="D619" s="1">
        <v>42770</v>
      </c>
      <c r="E619" s="1">
        <v>42770</v>
      </c>
      <c r="F619" t="s">
        <v>4</v>
      </c>
      <c r="G619" t="s">
        <v>6</v>
      </c>
      <c r="H619">
        <v>1000</v>
      </c>
      <c r="I619">
        <v>550</v>
      </c>
      <c r="J619">
        <v>30</v>
      </c>
      <c r="K619">
        <f>Claim[[#This Row],[Monto de prima]]-SUM(Claim[[#This Row],[Costo el reclamo]:[Costo de delivery]])</f>
        <v>420</v>
      </c>
      <c r="L619" t="s">
        <v>12</v>
      </c>
      <c r="M619" t="s">
        <v>19</v>
      </c>
    </row>
    <row r="620" spans="2:13" x14ac:dyDescent="0.35">
      <c r="B620">
        <v>616</v>
      </c>
      <c r="C620">
        <v>1914</v>
      </c>
      <c r="D620" s="1">
        <v>40374</v>
      </c>
      <c r="E620" s="1">
        <v>43860</v>
      </c>
      <c r="F620" t="s">
        <v>31</v>
      </c>
      <c r="G620" t="s">
        <v>2</v>
      </c>
      <c r="H620">
        <v>2000</v>
      </c>
      <c r="I620">
        <v>800</v>
      </c>
      <c r="J620">
        <v>40</v>
      </c>
      <c r="K620">
        <f>Claim[[#This Row],[Monto de prima]]-SUM(Claim[[#This Row],[Costo el reclamo]:[Costo de delivery]])</f>
        <v>1160</v>
      </c>
      <c r="L620" t="s">
        <v>12</v>
      </c>
      <c r="M620" t="s">
        <v>19</v>
      </c>
    </row>
    <row r="621" spans="2:13" x14ac:dyDescent="0.35">
      <c r="B621">
        <v>617</v>
      </c>
      <c r="C621">
        <v>1848</v>
      </c>
      <c r="D621" s="1">
        <v>43117</v>
      </c>
      <c r="E621" s="1">
        <v>43117</v>
      </c>
      <c r="F621" t="s">
        <v>30</v>
      </c>
      <c r="G621" t="s">
        <v>2</v>
      </c>
      <c r="H621">
        <v>600</v>
      </c>
      <c r="I621">
        <v>200</v>
      </c>
      <c r="J621">
        <v>35</v>
      </c>
      <c r="K621">
        <f>Claim[[#This Row],[Monto de prima]]-SUM(Claim[[#This Row],[Costo el reclamo]:[Costo de delivery]])</f>
        <v>365</v>
      </c>
      <c r="L621" t="s">
        <v>8</v>
      </c>
      <c r="M621" t="s">
        <v>17</v>
      </c>
    </row>
    <row r="622" spans="2:13" x14ac:dyDescent="0.35">
      <c r="B622">
        <v>618</v>
      </c>
      <c r="C622">
        <v>3996</v>
      </c>
      <c r="D622" s="1">
        <v>42458</v>
      </c>
      <c r="E622" s="1">
        <v>42458</v>
      </c>
      <c r="F622" t="s">
        <v>30</v>
      </c>
      <c r="G622" t="s">
        <v>2</v>
      </c>
      <c r="H622">
        <v>600</v>
      </c>
      <c r="I622">
        <v>200</v>
      </c>
      <c r="J622">
        <v>35</v>
      </c>
      <c r="K622">
        <f>Claim[[#This Row],[Monto de prima]]-SUM(Claim[[#This Row],[Costo el reclamo]:[Costo de delivery]])</f>
        <v>365</v>
      </c>
      <c r="L622" t="s">
        <v>10</v>
      </c>
      <c r="M622" t="s">
        <v>16</v>
      </c>
    </row>
    <row r="623" spans="2:13" x14ac:dyDescent="0.35">
      <c r="B623">
        <v>619</v>
      </c>
      <c r="C623">
        <v>2135</v>
      </c>
      <c r="D623" s="1">
        <v>40341</v>
      </c>
      <c r="E623" s="1">
        <v>43128</v>
      </c>
      <c r="F623" t="s">
        <v>1</v>
      </c>
      <c r="G623" t="s">
        <v>6</v>
      </c>
      <c r="H623">
        <v>250</v>
      </c>
      <c r="I623">
        <v>450</v>
      </c>
      <c r="J623">
        <v>50</v>
      </c>
      <c r="K623">
        <f>Claim[[#This Row],[Monto de prima]]-SUM(Claim[[#This Row],[Costo el reclamo]:[Costo de delivery]])</f>
        <v>-250</v>
      </c>
      <c r="L623" t="s">
        <v>12</v>
      </c>
      <c r="M623" t="s">
        <v>19</v>
      </c>
    </row>
    <row r="624" spans="2:13" x14ac:dyDescent="0.35">
      <c r="B624">
        <v>620</v>
      </c>
      <c r="C624">
        <v>3399</v>
      </c>
      <c r="D624" s="1">
        <v>41386</v>
      </c>
      <c r="E624" s="1">
        <v>43416</v>
      </c>
      <c r="F624" t="s">
        <v>4</v>
      </c>
      <c r="G624" t="s">
        <v>2</v>
      </c>
      <c r="H624">
        <v>1000</v>
      </c>
      <c r="I624">
        <v>550</v>
      </c>
      <c r="J624">
        <v>50</v>
      </c>
      <c r="K624">
        <f>Claim[[#This Row],[Monto de prima]]-SUM(Claim[[#This Row],[Costo el reclamo]:[Costo de delivery]])</f>
        <v>400</v>
      </c>
      <c r="L624" t="s">
        <v>12</v>
      </c>
      <c r="M624" t="s">
        <v>19</v>
      </c>
    </row>
    <row r="625" spans="2:13" x14ac:dyDescent="0.35">
      <c r="B625">
        <v>621</v>
      </c>
      <c r="C625">
        <v>4986</v>
      </c>
      <c r="D625" s="1">
        <v>42386</v>
      </c>
      <c r="E625" s="1">
        <v>42386</v>
      </c>
      <c r="F625" t="s">
        <v>31</v>
      </c>
      <c r="G625" t="s">
        <v>3</v>
      </c>
      <c r="H625">
        <v>2000</v>
      </c>
      <c r="I625">
        <v>800</v>
      </c>
      <c r="J625">
        <v>30</v>
      </c>
      <c r="K625">
        <f>Claim[[#This Row],[Monto de prima]]-SUM(Claim[[#This Row],[Costo el reclamo]:[Costo de delivery]])</f>
        <v>1170</v>
      </c>
      <c r="L625" t="s">
        <v>11</v>
      </c>
      <c r="M625" t="s">
        <v>18</v>
      </c>
    </row>
    <row r="626" spans="2:13" x14ac:dyDescent="0.35">
      <c r="B626">
        <v>622</v>
      </c>
      <c r="C626">
        <v>4991</v>
      </c>
      <c r="D626" s="1">
        <v>41855</v>
      </c>
      <c r="E626" s="1">
        <v>43757</v>
      </c>
      <c r="F626" t="s">
        <v>1</v>
      </c>
      <c r="G626" t="s">
        <v>6</v>
      </c>
      <c r="H626">
        <v>250</v>
      </c>
      <c r="I626">
        <v>450</v>
      </c>
      <c r="J626">
        <v>50</v>
      </c>
      <c r="K626">
        <f>Claim[[#This Row],[Monto de prima]]-SUM(Claim[[#This Row],[Costo el reclamo]:[Costo de delivery]])</f>
        <v>-250</v>
      </c>
      <c r="L626" t="s">
        <v>7</v>
      </c>
      <c r="M626" t="s">
        <v>16</v>
      </c>
    </row>
    <row r="627" spans="2:13" x14ac:dyDescent="0.35">
      <c r="B627">
        <v>623</v>
      </c>
      <c r="C627">
        <v>4720</v>
      </c>
      <c r="D627" s="1">
        <v>40458</v>
      </c>
      <c r="E627" s="1">
        <v>41996</v>
      </c>
      <c r="F627" t="s">
        <v>1</v>
      </c>
      <c r="G627" t="s">
        <v>5</v>
      </c>
      <c r="H627">
        <v>250</v>
      </c>
      <c r="I627">
        <v>450</v>
      </c>
      <c r="J627">
        <v>100</v>
      </c>
      <c r="K627">
        <f>Claim[[#This Row],[Monto de prima]]-SUM(Claim[[#This Row],[Costo el reclamo]:[Costo de delivery]])</f>
        <v>-300</v>
      </c>
      <c r="L627" t="s">
        <v>13</v>
      </c>
      <c r="M627" t="s">
        <v>14</v>
      </c>
    </row>
    <row r="628" spans="2:13" x14ac:dyDescent="0.35">
      <c r="B628">
        <v>624</v>
      </c>
      <c r="C628">
        <v>4521</v>
      </c>
      <c r="D628" s="1">
        <v>40977</v>
      </c>
      <c r="E628" s="1">
        <v>43234</v>
      </c>
      <c r="F628" t="s">
        <v>31</v>
      </c>
      <c r="G628" t="s">
        <v>6</v>
      </c>
      <c r="H628">
        <v>2000</v>
      </c>
      <c r="I628">
        <v>800</v>
      </c>
      <c r="J628">
        <v>20</v>
      </c>
      <c r="K628">
        <f>Claim[[#This Row],[Monto de prima]]-SUM(Claim[[#This Row],[Costo el reclamo]:[Costo de delivery]])</f>
        <v>1180</v>
      </c>
      <c r="L628" t="s">
        <v>7</v>
      </c>
      <c r="M628" t="s">
        <v>16</v>
      </c>
    </row>
    <row r="629" spans="2:13" x14ac:dyDescent="0.35">
      <c r="B629">
        <v>625</v>
      </c>
      <c r="C629">
        <v>3190</v>
      </c>
      <c r="D629" s="1">
        <v>40804</v>
      </c>
      <c r="E629" s="1">
        <v>41771</v>
      </c>
      <c r="F629" t="s">
        <v>1</v>
      </c>
      <c r="G629" t="s">
        <v>3</v>
      </c>
      <c r="H629">
        <v>250</v>
      </c>
      <c r="I629">
        <v>450</v>
      </c>
      <c r="J629">
        <v>80</v>
      </c>
      <c r="K629">
        <f>Claim[[#This Row],[Monto de prima]]-SUM(Claim[[#This Row],[Costo el reclamo]:[Costo de delivery]])</f>
        <v>-280</v>
      </c>
      <c r="L629" t="s">
        <v>12</v>
      </c>
      <c r="M629" t="s">
        <v>19</v>
      </c>
    </row>
    <row r="630" spans="2:13" x14ac:dyDescent="0.35">
      <c r="B630">
        <v>626</v>
      </c>
      <c r="C630">
        <v>2713</v>
      </c>
      <c r="D630" s="1">
        <v>40417</v>
      </c>
      <c r="E630" s="1">
        <v>43106</v>
      </c>
      <c r="F630" t="s">
        <v>4</v>
      </c>
      <c r="G630" t="s">
        <v>5</v>
      </c>
      <c r="H630">
        <v>1000</v>
      </c>
      <c r="I630">
        <v>550</v>
      </c>
      <c r="J630">
        <v>50</v>
      </c>
      <c r="K630">
        <f>Claim[[#This Row],[Monto de prima]]-SUM(Claim[[#This Row],[Costo el reclamo]:[Costo de delivery]])</f>
        <v>400</v>
      </c>
      <c r="L630" t="s">
        <v>9</v>
      </c>
      <c r="M630" t="s">
        <v>15</v>
      </c>
    </row>
    <row r="631" spans="2:13" x14ac:dyDescent="0.35">
      <c r="B631">
        <v>627</v>
      </c>
      <c r="C631">
        <v>1775</v>
      </c>
      <c r="D631" s="1">
        <v>41036</v>
      </c>
      <c r="E631" s="1">
        <v>43149</v>
      </c>
      <c r="F631" t="s">
        <v>30</v>
      </c>
      <c r="G631" t="s">
        <v>5</v>
      </c>
      <c r="H631">
        <v>600</v>
      </c>
      <c r="I631">
        <v>200</v>
      </c>
      <c r="J631">
        <v>50</v>
      </c>
      <c r="K631">
        <f>Claim[[#This Row],[Monto de prima]]-SUM(Claim[[#This Row],[Costo el reclamo]:[Costo de delivery]])</f>
        <v>350</v>
      </c>
      <c r="L631" t="s">
        <v>7</v>
      </c>
      <c r="M631" t="s">
        <v>16</v>
      </c>
    </row>
    <row r="632" spans="2:13" x14ac:dyDescent="0.35">
      <c r="B632">
        <v>628</v>
      </c>
      <c r="C632">
        <v>4151</v>
      </c>
      <c r="D632" s="1">
        <v>43029</v>
      </c>
      <c r="E632" s="1">
        <v>43768</v>
      </c>
      <c r="F632" t="s">
        <v>30</v>
      </c>
      <c r="G632" t="s">
        <v>3</v>
      </c>
      <c r="H632">
        <v>600</v>
      </c>
      <c r="I632">
        <v>200</v>
      </c>
      <c r="J632">
        <v>20</v>
      </c>
      <c r="K632">
        <f>Claim[[#This Row],[Monto de prima]]-SUM(Claim[[#This Row],[Costo el reclamo]:[Costo de delivery]])</f>
        <v>380</v>
      </c>
      <c r="L632" t="s">
        <v>7</v>
      </c>
      <c r="M632" t="s">
        <v>16</v>
      </c>
    </row>
    <row r="633" spans="2:13" x14ac:dyDescent="0.35">
      <c r="B633">
        <v>629</v>
      </c>
      <c r="C633">
        <v>4753</v>
      </c>
      <c r="D633" s="1">
        <v>40750</v>
      </c>
      <c r="E633" s="1">
        <v>42995</v>
      </c>
      <c r="F633" t="s">
        <v>1</v>
      </c>
      <c r="G633" t="s">
        <v>3</v>
      </c>
      <c r="H633">
        <v>250</v>
      </c>
      <c r="I633">
        <v>450</v>
      </c>
      <c r="J633">
        <v>80</v>
      </c>
      <c r="K633">
        <f>Claim[[#This Row],[Monto de prima]]-SUM(Claim[[#This Row],[Costo el reclamo]:[Costo de delivery]])</f>
        <v>-280</v>
      </c>
      <c r="L633" t="s">
        <v>7</v>
      </c>
      <c r="M633" t="s">
        <v>16</v>
      </c>
    </row>
    <row r="634" spans="2:13" x14ac:dyDescent="0.35">
      <c r="B634">
        <v>630</v>
      </c>
      <c r="C634">
        <v>3340</v>
      </c>
      <c r="D634" s="1">
        <v>42517</v>
      </c>
      <c r="E634" s="1">
        <v>42953</v>
      </c>
      <c r="F634" t="s">
        <v>30</v>
      </c>
      <c r="G634" t="s">
        <v>5</v>
      </c>
      <c r="H634">
        <v>600</v>
      </c>
      <c r="I634">
        <v>200</v>
      </c>
      <c r="J634">
        <v>50</v>
      </c>
      <c r="K634">
        <f>Claim[[#This Row],[Monto de prima]]-SUM(Claim[[#This Row],[Costo el reclamo]:[Costo de delivery]])</f>
        <v>350</v>
      </c>
      <c r="L634" t="s">
        <v>9</v>
      </c>
      <c r="M634" t="s">
        <v>15</v>
      </c>
    </row>
    <row r="635" spans="2:13" x14ac:dyDescent="0.35">
      <c r="B635">
        <v>631</v>
      </c>
      <c r="C635">
        <v>2989</v>
      </c>
      <c r="D635" s="1">
        <v>43019</v>
      </c>
      <c r="E635" s="1">
        <v>43019</v>
      </c>
      <c r="F635" t="s">
        <v>4</v>
      </c>
      <c r="G635" t="s">
        <v>6</v>
      </c>
      <c r="H635">
        <v>1000</v>
      </c>
      <c r="I635">
        <v>550</v>
      </c>
      <c r="J635">
        <v>30</v>
      </c>
      <c r="K635">
        <f>Claim[[#This Row],[Monto de prima]]-SUM(Claim[[#This Row],[Costo el reclamo]:[Costo de delivery]])</f>
        <v>420</v>
      </c>
      <c r="L635" t="s">
        <v>8</v>
      </c>
      <c r="M635" t="s">
        <v>17</v>
      </c>
    </row>
    <row r="636" spans="2:13" x14ac:dyDescent="0.35">
      <c r="B636">
        <v>632</v>
      </c>
      <c r="C636">
        <v>2053</v>
      </c>
      <c r="D636" s="1">
        <v>41805</v>
      </c>
      <c r="E636" s="1">
        <v>41805</v>
      </c>
      <c r="F636" t="s">
        <v>31</v>
      </c>
      <c r="G636" t="s">
        <v>3</v>
      </c>
      <c r="H636">
        <v>2000</v>
      </c>
      <c r="I636">
        <v>800</v>
      </c>
      <c r="J636">
        <v>30</v>
      </c>
      <c r="K636">
        <f>Claim[[#This Row],[Monto de prima]]-SUM(Claim[[#This Row],[Costo el reclamo]:[Costo de delivery]])</f>
        <v>1170</v>
      </c>
      <c r="L636" t="s">
        <v>7</v>
      </c>
      <c r="M636" t="s">
        <v>16</v>
      </c>
    </row>
    <row r="637" spans="2:13" x14ac:dyDescent="0.35">
      <c r="B637">
        <v>633</v>
      </c>
      <c r="C637">
        <v>2810</v>
      </c>
      <c r="D637" s="1">
        <v>40266</v>
      </c>
      <c r="E637" s="1">
        <v>41212</v>
      </c>
      <c r="F637" t="s">
        <v>1</v>
      </c>
      <c r="G637" t="s">
        <v>2</v>
      </c>
      <c r="H637">
        <v>250</v>
      </c>
      <c r="I637">
        <v>450</v>
      </c>
      <c r="J637">
        <v>30</v>
      </c>
      <c r="K637">
        <f>Claim[[#This Row],[Monto de prima]]-SUM(Claim[[#This Row],[Costo el reclamo]:[Costo de delivery]])</f>
        <v>-230</v>
      </c>
      <c r="L637" t="s">
        <v>10</v>
      </c>
      <c r="M637" t="s">
        <v>16</v>
      </c>
    </row>
    <row r="638" spans="2:13" x14ac:dyDescent="0.35">
      <c r="B638">
        <v>634</v>
      </c>
      <c r="C638">
        <v>3420</v>
      </c>
      <c r="D638" s="1">
        <v>41130</v>
      </c>
      <c r="E638" s="1">
        <v>41969</v>
      </c>
      <c r="F638" t="s">
        <v>1</v>
      </c>
      <c r="G638" t="s">
        <v>6</v>
      </c>
      <c r="H638">
        <v>250</v>
      </c>
      <c r="I638">
        <v>450</v>
      </c>
      <c r="J638">
        <v>50</v>
      </c>
      <c r="K638">
        <f>Claim[[#This Row],[Monto de prima]]-SUM(Claim[[#This Row],[Costo el reclamo]:[Costo de delivery]])</f>
        <v>-250</v>
      </c>
      <c r="L638" t="s">
        <v>13</v>
      </c>
      <c r="M638" t="s">
        <v>14</v>
      </c>
    </row>
    <row r="639" spans="2:13" x14ac:dyDescent="0.35">
      <c r="B639">
        <v>635</v>
      </c>
      <c r="C639">
        <v>1193</v>
      </c>
      <c r="D639" s="1">
        <v>41048</v>
      </c>
      <c r="E639" s="1">
        <v>41908</v>
      </c>
      <c r="F639" t="s">
        <v>30</v>
      </c>
      <c r="G639" t="s">
        <v>3</v>
      </c>
      <c r="H639">
        <v>600</v>
      </c>
      <c r="I639">
        <v>200</v>
      </c>
      <c r="J639">
        <v>20</v>
      </c>
      <c r="K639">
        <f>Claim[[#This Row],[Monto de prima]]-SUM(Claim[[#This Row],[Costo el reclamo]:[Costo de delivery]])</f>
        <v>380</v>
      </c>
      <c r="L639" t="s">
        <v>13</v>
      </c>
      <c r="M639" t="s">
        <v>14</v>
      </c>
    </row>
    <row r="640" spans="2:13" x14ac:dyDescent="0.35">
      <c r="B640">
        <v>636</v>
      </c>
      <c r="C640">
        <v>2040</v>
      </c>
      <c r="D640" s="1">
        <v>41076</v>
      </c>
      <c r="E640" s="1">
        <v>42442</v>
      </c>
      <c r="F640" t="s">
        <v>1</v>
      </c>
      <c r="G640" t="s">
        <v>6</v>
      </c>
      <c r="H640">
        <v>250</v>
      </c>
      <c r="I640">
        <v>450</v>
      </c>
      <c r="J640">
        <v>50</v>
      </c>
      <c r="K640">
        <f>Claim[[#This Row],[Monto de prima]]-SUM(Claim[[#This Row],[Costo el reclamo]:[Costo de delivery]])</f>
        <v>-250</v>
      </c>
      <c r="L640" t="s">
        <v>13</v>
      </c>
      <c r="M640" t="s">
        <v>14</v>
      </c>
    </row>
    <row r="641" spans="2:13" x14ac:dyDescent="0.35">
      <c r="B641">
        <v>637</v>
      </c>
      <c r="C641">
        <v>3345</v>
      </c>
      <c r="D641" s="1">
        <v>41141</v>
      </c>
      <c r="E641" s="1">
        <v>42249</v>
      </c>
      <c r="F641" t="s">
        <v>31</v>
      </c>
      <c r="G641" t="s">
        <v>5</v>
      </c>
      <c r="H641">
        <v>2000</v>
      </c>
      <c r="I641">
        <v>800</v>
      </c>
      <c r="J641">
        <v>25</v>
      </c>
      <c r="K641">
        <f>Claim[[#This Row],[Monto de prima]]-SUM(Claim[[#This Row],[Costo el reclamo]:[Costo de delivery]])</f>
        <v>1175</v>
      </c>
      <c r="L641" t="s">
        <v>12</v>
      </c>
      <c r="M641" t="s">
        <v>19</v>
      </c>
    </row>
    <row r="642" spans="2:13" x14ac:dyDescent="0.35">
      <c r="B642">
        <v>638</v>
      </c>
      <c r="C642">
        <v>1318</v>
      </c>
      <c r="D642" s="1">
        <v>41100</v>
      </c>
      <c r="E642" s="1">
        <v>41483</v>
      </c>
      <c r="F642" t="s">
        <v>30</v>
      </c>
      <c r="G642" t="s">
        <v>6</v>
      </c>
      <c r="H642">
        <v>600</v>
      </c>
      <c r="I642">
        <v>200</v>
      </c>
      <c r="J642">
        <v>15</v>
      </c>
      <c r="K642">
        <f>Claim[[#This Row],[Monto de prima]]-SUM(Claim[[#This Row],[Costo el reclamo]:[Costo de delivery]])</f>
        <v>385</v>
      </c>
      <c r="L642" t="s">
        <v>11</v>
      </c>
      <c r="M642" t="s">
        <v>18</v>
      </c>
    </row>
    <row r="643" spans="2:13" x14ac:dyDescent="0.35">
      <c r="B643">
        <v>639</v>
      </c>
      <c r="C643">
        <v>3992</v>
      </c>
      <c r="D643" s="1">
        <v>42052</v>
      </c>
      <c r="E643" s="1">
        <v>42786</v>
      </c>
      <c r="F643" t="s">
        <v>31</v>
      </c>
      <c r="G643" t="s">
        <v>3</v>
      </c>
      <c r="H643">
        <v>2000</v>
      </c>
      <c r="I643">
        <v>800</v>
      </c>
      <c r="J643">
        <v>30</v>
      </c>
      <c r="K643">
        <f>Claim[[#This Row],[Monto de prima]]-SUM(Claim[[#This Row],[Costo el reclamo]:[Costo de delivery]])</f>
        <v>1170</v>
      </c>
      <c r="L643" t="s">
        <v>8</v>
      </c>
      <c r="M643" t="s">
        <v>17</v>
      </c>
    </row>
    <row r="644" spans="2:13" x14ac:dyDescent="0.35">
      <c r="B644">
        <v>640</v>
      </c>
      <c r="C644">
        <v>1808</v>
      </c>
      <c r="D644" s="1">
        <v>41842</v>
      </c>
      <c r="E644" s="1">
        <v>41842</v>
      </c>
      <c r="F644" t="s">
        <v>30</v>
      </c>
      <c r="G644" t="s">
        <v>2</v>
      </c>
      <c r="H644">
        <v>600</v>
      </c>
      <c r="I644">
        <v>200</v>
      </c>
      <c r="J644">
        <v>35</v>
      </c>
      <c r="K644">
        <f>Claim[[#This Row],[Monto de prima]]-SUM(Claim[[#This Row],[Costo el reclamo]:[Costo de delivery]])</f>
        <v>365</v>
      </c>
      <c r="L644" t="s">
        <v>12</v>
      </c>
      <c r="M644" t="s">
        <v>19</v>
      </c>
    </row>
    <row r="645" spans="2:13" x14ac:dyDescent="0.35">
      <c r="B645">
        <v>641</v>
      </c>
      <c r="C645">
        <v>2069</v>
      </c>
      <c r="D645" s="1">
        <v>41491</v>
      </c>
      <c r="E645" s="1">
        <v>41491</v>
      </c>
      <c r="F645" t="s">
        <v>4</v>
      </c>
      <c r="G645" t="s">
        <v>2</v>
      </c>
      <c r="H645">
        <v>1000</v>
      </c>
      <c r="I645">
        <v>550</v>
      </c>
      <c r="J645">
        <v>50</v>
      </c>
      <c r="K645">
        <f>Claim[[#This Row],[Monto de prima]]-SUM(Claim[[#This Row],[Costo el reclamo]:[Costo de delivery]])</f>
        <v>400</v>
      </c>
      <c r="L645" t="s">
        <v>8</v>
      </c>
      <c r="M645" t="s">
        <v>17</v>
      </c>
    </row>
    <row r="646" spans="2:13" x14ac:dyDescent="0.35">
      <c r="B646">
        <v>642</v>
      </c>
      <c r="C646">
        <v>2824</v>
      </c>
      <c r="D646" s="1">
        <v>41931</v>
      </c>
      <c r="E646" s="1">
        <v>42889</v>
      </c>
      <c r="F646" t="s">
        <v>4</v>
      </c>
      <c r="G646" t="s">
        <v>6</v>
      </c>
      <c r="H646">
        <v>1000</v>
      </c>
      <c r="I646">
        <v>550</v>
      </c>
      <c r="J646">
        <v>30</v>
      </c>
      <c r="K646">
        <f>Claim[[#This Row],[Monto de prima]]-SUM(Claim[[#This Row],[Costo el reclamo]:[Costo de delivery]])</f>
        <v>420</v>
      </c>
      <c r="L646" t="s">
        <v>13</v>
      </c>
      <c r="M646" t="s">
        <v>14</v>
      </c>
    </row>
    <row r="647" spans="2:13" x14ac:dyDescent="0.35">
      <c r="B647">
        <v>643</v>
      </c>
      <c r="C647">
        <v>1031</v>
      </c>
      <c r="D647" s="1">
        <v>43147</v>
      </c>
      <c r="E647" s="1">
        <v>43147</v>
      </c>
      <c r="F647" t="s">
        <v>31</v>
      </c>
      <c r="G647" t="s">
        <v>2</v>
      </c>
      <c r="H647">
        <v>2000</v>
      </c>
      <c r="I647">
        <v>800</v>
      </c>
      <c r="J647">
        <v>40</v>
      </c>
      <c r="K647">
        <f>Claim[[#This Row],[Monto de prima]]-SUM(Claim[[#This Row],[Costo el reclamo]:[Costo de delivery]])</f>
        <v>1160</v>
      </c>
      <c r="L647" t="s">
        <v>8</v>
      </c>
      <c r="M647" t="s">
        <v>17</v>
      </c>
    </row>
    <row r="648" spans="2:13" x14ac:dyDescent="0.35">
      <c r="B648">
        <v>644</v>
      </c>
      <c r="C648">
        <v>4265</v>
      </c>
      <c r="D648" s="1">
        <v>40696</v>
      </c>
      <c r="E648" s="1">
        <v>41530</v>
      </c>
      <c r="F648" t="s">
        <v>30</v>
      </c>
      <c r="G648" t="s">
        <v>6</v>
      </c>
      <c r="H648">
        <v>600</v>
      </c>
      <c r="I648">
        <v>200</v>
      </c>
      <c r="J648">
        <v>15</v>
      </c>
      <c r="K648">
        <f>Claim[[#This Row],[Monto de prima]]-SUM(Claim[[#This Row],[Costo el reclamo]:[Costo de delivery]])</f>
        <v>385</v>
      </c>
      <c r="L648" t="s">
        <v>9</v>
      </c>
      <c r="M648" t="s">
        <v>15</v>
      </c>
    </row>
    <row r="649" spans="2:13" x14ac:dyDescent="0.35">
      <c r="B649">
        <v>645</v>
      </c>
      <c r="C649">
        <v>2213</v>
      </c>
      <c r="D649" s="1">
        <v>43039</v>
      </c>
      <c r="E649" s="1">
        <v>43039</v>
      </c>
      <c r="F649" t="s">
        <v>31</v>
      </c>
      <c r="G649" t="s">
        <v>5</v>
      </c>
      <c r="H649">
        <v>2000</v>
      </c>
      <c r="I649">
        <v>800</v>
      </c>
      <c r="J649">
        <v>25</v>
      </c>
      <c r="K649">
        <f>Claim[[#This Row],[Monto de prima]]-SUM(Claim[[#This Row],[Costo el reclamo]:[Costo de delivery]])</f>
        <v>1175</v>
      </c>
      <c r="L649" t="s">
        <v>7</v>
      </c>
      <c r="M649" t="s">
        <v>16</v>
      </c>
    </row>
    <row r="650" spans="2:13" x14ac:dyDescent="0.35">
      <c r="B650">
        <v>646</v>
      </c>
      <c r="C650">
        <v>2481</v>
      </c>
      <c r="D650" s="1">
        <v>41232</v>
      </c>
      <c r="E650" s="1">
        <v>42904</v>
      </c>
      <c r="F650" t="s">
        <v>1</v>
      </c>
      <c r="G650" t="s">
        <v>5</v>
      </c>
      <c r="H650">
        <v>250</v>
      </c>
      <c r="I650">
        <v>450</v>
      </c>
      <c r="J650">
        <v>100</v>
      </c>
      <c r="K650">
        <f>Claim[[#This Row],[Monto de prima]]-SUM(Claim[[#This Row],[Costo el reclamo]:[Costo de delivery]])</f>
        <v>-300</v>
      </c>
      <c r="L650" t="s">
        <v>12</v>
      </c>
      <c r="M650" t="s">
        <v>19</v>
      </c>
    </row>
    <row r="651" spans="2:13" x14ac:dyDescent="0.35">
      <c r="B651">
        <v>647</v>
      </c>
      <c r="C651">
        <v>3308</v>
      </c>
      <c r="D651" s="1">
        <v>40707</v>
      </c>
      <c r="E651" s="1">
        <v>41440</v>
      </c>
      <c r="F651" t="s">
        <v>4</v>
      </c>
      <c r="G651" t="s">
        <v>5</v>
      </c>
      <c r="H651">
        <v>1000</v>
      </c>
      <c r="I651">
        <v>550</v>
      </c>
      <c r="J651">
        <v>50</v>
      </c>
      <c r="K651">
        <f>Claim[[#This Row],[Monto de prima]]-SUM(Claim[[#This Row],[Costo el reclamo]:[Costo de delivery]])</f>
        <v>400</v>
      </c>
      <c r="L651" t="s">
        <v>12</v>
      </c>
      <c r="M651" t="s">
        <v>19</v>
      </c>
    </row>
    <row r="652" spans="2:13" x14ac:dyDescent="0.35">
      <c r="B652">
        <v>648</v>
      </c>
      <c r="C652">
        <v>1747</v>
      </c>
      <c r="D652" s="1">
        <v>41793</v>
      </c>
      <c r="E652" s="1">
        <v>42886</v>
      </c>
      <c r="F652" t="s">
        <v>30</v>
      </c>
      <c r="G652" t="s">
        <v>3</v>
      </c>
      <c r="H652">
        <v>600</v>
      </c>
      <c r="I652">
        <v>200</v>
      </c>
      <c r="J652">
        <v>20</v>
      </c>
      <c r="K652">
        <f>Claim[[#This Row],[Monto de prima]]-SUM(Claim[[#This Row],[Costo el reclamo]:[Costo de delivery]])</f>
        <v>380</v>
      </c>
      <c r="L652" t="s">
        <v>9</v>
      </c>
      <c r="M652" t="s">
        <v>15</v>
      </c>
    </row>
    <row r="653" spans="2:13" x14ac:dyDescent="0.35">
      <c r="B653">
        <v>649</v>
      </c>
      <c r="C653">
        <v>4612</v>
      </c>
      <c r="D653" s="1">
        <v>42111</v>
      </c>
      <c r="E653" s="1">
        <v>43786</v>
      </c>
      <c r="F653" t="s">
        <v>30</v>
      </c>
      <c r="G653" t="s">
        <v>3</v>
      </c>
      <c r="H653">
        <v>600</v>
      </c>
      <c r="I653">
        <v>200</v>
      </c>
      <c r="J653">
        <v>20</v>
      </c>
      <c r="K653">
        <f>Claim[[#This Row],[Monto de prima]]-SUM(Claim[[#This Row],[Costo el reclamo]:[Costo de delivery]])</f>
        <v>380</v>
      </c>
      <c r="L653" t="s">
        <v>13</v>
      </c>
      <c r="M653" t="s">
        <v>14</v>
      </c>
    </row>
    <row r="654" spans="2:13" x14ac:dyDescent="0.35">
      <c r="B654">
        <v>650</v>
      </c>
      <c r="C654">
        <v>2200</v>
      </c>
      <c r="D654" s="1">
        <v>42188</v>
      </c>
      <c r="E654" s="1">
        <v>42797</v>
      </c>
      <c r="F654" t="s">
        <v>1</v>
      </c>
      <c r="G654" t="s">
        <v>3</v>
      </c>
      <c r="H654">
        <v>250</v>
      </c>
      <c r="I654">
        <v>450</v>
      </c>
      <c r="J654">
        <v>80</v>
      </c>
      <c r="K654">
        <f>Claim[[#This Row],[Monto de prima]]-SUM(Claim[[#This Row],[Costo el reclamo]:[Costo de delivery]])</f>
        <v>-280</v>
      </c>
      <c r="L654" t="s">
        <v>12</v>
      </c>
      <c r="M654" t="s">
        <v>19</v>
      </c>
    </row>
    <row r="655" spans="2:13" x14ac:dyDescent="0.35">
      <c r="B655">
        <v>651</v>
      </c>
      <c r="C655">
        <v>1671</v>
      </c>
      <c r="D655" s="1">
        <v>42467</v>
      </c>
      <c r="E655" s="1">
        <v>43285</v>
      </c>
      <c r="F655" t="s">
        <v>4</v>
      </c>
      <c r="G655" t="s">
        <v>5</v>
      </c>
      <c r="H655">
        <v>1000</v>
      </c>
      <c r="I655">
        <v>550</v>
      </c>
      <c r="J655">
        <v>50</v>
      </c>
      <c r="K655">
        <f>Claim[[#This Row],[Monto de prima]]-SUM(Claim[[#This Row],[Costo el reclamo]:[Costo de delivery]])</f>
        <v>400</v>
      </c>
      <c r="L655" t="s">
        <v>9</v>
      </c>
      <c r="M655" t="s">
        <v>15</v>
      </c>
    </row>
    <row r="656" spans="2:13" x14ac:dyDescent="0.35">
      <c r="B656">
        <v>652</v>
      </c>
      <c r="C656">
        <v>3920</v>
      </c>
      <c r="D656" s="1">
        <v>42683</v>
      </c>
      <c r="E656" s="1">
        <v>42683</v>
      </c>
      <c r="F656" t="s">
        <v>4</v>
      </c>
      <c r="G656" t="s">
        <v>3</v>
      </c>
      <c r="H656">
        <v>1000</v>
      </c>
      <c r="I656">
        <v>550</v>
      </c>
      <c r="J656">
        <v>80</v>
      </c>
      <c r="K656">
        <f>Claim[[#This Row],[Monto de prima]]-SUM(Claim[[#This Row],[Costo el reclamo]:[Costo de delivery]])</f>
        <v>370</v>
      </c>
      <c r="L656" t="s">
        <v>13</v>
      </c>
      <c r="M656" t="s">
        <v>14</v>
      </c>
    </row>
    <row r="657" spans="2:13" x14ac:dyDescent="0.35">
      <c r="B657">
        <v>653</v>
      </c>
      <c r="C657">
        <v>3997</v>
      </c>
      <c r="D657" s="1">
        <v>41187</v>
      </c>
      <c r="E657" s="1">
        <v>42016</v>
      </c>
      <c r="F657" t="s">
        <v>30</v>
      </c>
      <c r="G657" t="s">
        <v>6</v>
      </c>
      <c r="H657">
        <v>600</v>
      </c>
      <c r="I657">
        <v>200</v>
      </c>
      <c r="J657">
        <v>15</v>
      </c>
      <c r="K657">
        <f>Claim[[#This Row],[Monto de prima]]-SUM(Claim[[#This Row],[Costo el reclamo]:[Costo de delivery]])</f>
        <v>385</v>
      </c>
      <c r="L657" t="s">
        <v>9</v>
      </c>
      <c r="M657" t="s">
        <v>15</v>
      </c>
    </row>
    <row r="658" spans="2:13" x14ac:dyDescent="0.35">
      <c r="B658">
        <v>654</v>
      </c>
      <c r="C658">
        <v>2111</v>
      </c>
      <c r="D658" s="1">
        <v>41361</v>
      </c>
      <c r="E658" s="1">
        <v>42385</v>
      </c>
      <c r="F658" t="s">
        <v>30</v>
      </c>
      <c r="G658" t="s">
        <v>2</v>
      </c>
      <c r="H658">
        <v>600</v>
      </c>
      <c r="I658">
        <v>200</v>
      </c>
      <c r="J658">
        <v>35</v>
      </c>
      <c r="K658">
        <f>Claim[[#This Row],[Monto de prima]]-SUM(Claim[[#This Row],[Costo el reclamo]:[Costo de delivery]])</f>
        <v>365</v>
      </c>
      <c r="L658" t="s">
        <v>8</v>
      </c>
      <c r="M658" t="s">
        <v>17</v>
      </c>
    </row>
    <row r="659" spans="2:13" x14ac:dyDescent="0.35">
      <c r="B659">
        <v>655</v>
      </c>
      <c r="C659">
        <v>1204</v>
      </c>
      <c r="D659" s="1">
        <v>41900</v>
      </c>
      <c r="E659" s="1">
        <v>42490</v>
      </c>
      <c r="F659" t="s">
        <v>31</v>
      </c>
      <c r="G659" t="s">
        <v>5</v>
      </c>
      <c r="H659">
        <v>2000</v>
      </c>
      <c r="I659">
        <v>800</v>
      </c>
      <c r="J659">
        <v>25</v>
      </c>
      <c r="K659">
        <f>Claim[[#This Row],[Monto de prima]]-SUM(Claim[[#This Row],[Costo el reclamo]:[Costo de delivery]])</f>
        <v>1175</v>
      </c>
      <c r="L659" t="s">
        <v>9</v>
      </c>
      <c r="M659" t="s">
        <v>15</v>
      </c>
    </row>
    <row r="660" spans="2:13" x14ac:dyDescent="0.35">
      <c r="B660">
        <v>656</v>
      </c>
      <c r="C660">
        <v>2800</v>
      </c>
      <c r="D660" s="1">
        <v>42894</v>
      </c>
      <c r="E660" s="1">
        <v>42894</v>
      </c>
      <c r="F660" t="s">
        <v>1</v>
      </c>
      <c r="G660" t="s">
        <v>3</v>
      </c>
      <c r="H660">
        <v>250</v>
      </c>
      <c r="I660">
        <v>450</v>
      </c>
      <c r="J660">
        <v>80</v>
      </c>
      <c r="K660">
        <f>Claim[[#This Row],[Monto de prima]]-SUM(Claim[[#This Row],[Costo el reclamo]:[Costo de delivery]])</f>
        <v>-280</v>
      </c>
      <c r="L660" t="s">
        <v>9</v>
      </c>
      <c r="M660" t="s">
        <v>15</v>
      </c>
    </row>
    <row r="661" spans="2:13" x14ac:dyDescent="0.35">
      <c r="B661">
        <v>657</v>
      </c>
      <c r="C661">
        <v>2742</v>
      </c>
      <c r="D661" s="1">
        <v>40675</v>
      </c>
      <c r="E661" s="1">
        <v>43696</v>
      </c>
      <c r="F661" t="s">
        <v>4</v>
      </c>
      <c r="G661" t="s">
        <v>5</v>
      </c>
      <c r="H661">
        <v>1000</v>
      </c>
      <c r="I661">
        <v>550</v>
      </c>
      <c r="J661">
        <v>50</v>
      </c>
      <c r="K661">
        <f>Claim[[#This Row],[Monto de prima]]-SUM(Claim[[#This Row],[Costo el reclamo]:[Costo de delivery]])</f>
        <v>400</v>
      </c>
      <c r="L661" t="s">
        <v>8</v>
      </c>
      <c r="M661" t="s">
        <v>17</v>
      </c>
    </row>
    <row r="662" spans="2:13" x14ac:dyDescent="0.35">
      <c r="B662">
        <v>658</v>
      </c>
      <c r="C662">
        <v>2038</v>
      </c>
      <c r="D662" s="1">
        <v>40961</v>
      </c>
      <c r="E662" s="1">
        <v>41894</v>
      </c>
      <c r="F662" t="s">
        <v>31</v>
      </c>
      <c r="G662" t="s">
        <v>6</v>
      </c>
      <c r="H662">
        <v>2000</v>
      </c>
      <c r="I662">
        <v>800</v>
      </c>
      <c r="J662">
        <v>20</v>
      </c>
      <c r="K662">
        <f>Claim[[#This Row],[Monto de prima]]-SUM(Claim[[#This Row],[Costo el reclamo]:[Costo de delivery]])</f>
        <v>1180</v>
      </c>
      <c r="L662" t="s">
        <v>11</v>
      </c>
      <c r="M662" t="s">
        <v>18</v>
      </c>
    </row>
    <row r="663" spans="2:13" x14ac:dyDescent="0.35">
      <c r="B663">
        <v>659</v>
      </c>
      <c r="C663">
        <v>4461</v>
      </c>
      <c r="D663" s="1">
        <v>40408</v>
      </c>
      <c r="E663" s="1">
        <v>42448</v>
      </c>
      <c r="F663" t="s">
        <v>30</v>
      </c>
      <c r="G663" t="s">
        <v>3</v>
      </c>
      <c r="H663">
        <v>600</v>
      </c>
      <c r="I663">
        <v>200</v>
      </c>
      <c r="J663">
        <v>20</v>
      </c>
      <c r="K663">
        <f>Claim[[#This Row],[Monto de prima]]-SUM(Claim[[#This Row],[Costo el reclamo]:[Costo de delivery]])</f>
        <v>380</v>
      </c>
      <c r="L663" t="s">
        <v>10</v>
      </c>
      <c r="M663" t="s">
        <v>16</v>
      </c>
    </row>
    <row r="664" spans="2:13" x14ac:dyDescent="0.35">
      <c r="B664">
        <v>660</v>
      </c>
      <c r="C664">
        <v>3255</v>
      </c>
      <c r="D664" s="1">
        <v>40667</v>
      </c>
      <c r="E664" s="1">
        <v>42892</v>
      </c>
      <c r="F664" t="s">
        <v>1</v>
      </c>
      <c r="G664" t="s">
        <v>5</v>
      </c>
      <c r="H664">
        <v>250</v>
      </c>
      <c r="I664">
        <v>450</v>
      </c>
      <c r="J664">
        <v>100</v>
      </c>
      <c r="K664">
        <f>Claim[[#This Row],[Monto de prima]]-SUM(Claim[[#This Row],[Costo el reclamo]:[Costo de delivery]])</f>
        <v>-300</v>
      </c>
      <c r="L664" t="s">
        <v>8</v>
      </c>
      <c r="M664" t="s">
        <v>17</v>
      </c>
    </row>
    <row r="665" spans="2:13" x14ac:dyDescent="0.35">
      <c r="B665">
        <v>661</v>
      </c>
      <c r="C665">
        <v>4318</v>
      </c>
      <c r="D665" s="1">
        <v>41060</v>
      </c>
      <c r="E665" s="1">
        <v>42270</v>
      </c>
      <c r="F665" t="s">
        <v>4</v>
      </c>
      <c r="G665" t="s">
        <v>3</v>
      </c>
      <c r="H665">
        <v>1000</v>
      </c>
      <c r="I665">
        <v>550</v>
      </c>
      <c r="J665">
        <v>80</v>
      </c>
      <c r="K665">
        <f>Claim[[#This Row],[Monto de prima]]-SUM(Claim[[#This Row],[Costo el reclamo]:[Costo de delivery]])</f>
        <v>370</v>
      </c>
      <c r="L665" t="s">
        <v>13</v>
      </c>
      <c r="M665" t="s">
        <v>14</v>
      </c>
    </row>
    <row r="666" spans="2:13" x14ac:dyDescent="0.35">
      <c r="B666">
        <v>662</v>
      </c>
      <c r="C666">
        <v>4524</v>
      </c>
      <c r="D666" s="1">
        <v>41406</v>
      </c>
      <c r="E666" s="1">
        <v>42977</v>
      </c>
      <c r="F666" t="s">
        <v>1</v>
      </c>
      <c r="G666" t="s">
        <v>5</v>
      </c>
      <c r="H666">
        <v>250</v>
      </c>
      <c r="I666">
        <v>450</v>
      </c>
      <c r="J666">
        <v>100</v>
      </c>
      <c r="K666">
        <f>Claim[[#This Row],[Monto de prima]]-SUM(Claim[[#This Row],[Costo el reclamo]:[Costo de delivery]])</f>
        <v>-300</v>
      </c>
      <c r="L666" t="s">
        <v>7</v>
      </c>
      <c r="M666" t="s">
        <v>16</v>
      </c>
    </row>
    <row r="667" spans="2:13" x14ac:dyDescent="0.35">
      <c r="B667">
        <v>663</v>
      </c>
      <c r="C667">
        <v>1461</v>
      </c>
      <c r="D667" s="1">
        <v>41471</v>
      </c>
      <c r="E667" s="1">
        <v>43178</v>
      </c>
      <c r="F667" t="s">
        <v>1</v>
      </c>
      <c r="G667" t="s">
        <v>6</v>
      </c>
      <c r="H667">
        <v>250</v>
      </c>
      <c r="I667">
        <v>450</v>
      </c>
      <c r="J667">
        <v>50</v>
      </c>
      <c r="K667">
        <f>Claim[[#This Row],[Monto de prima]]-SUM(Claim[[#This Row],[Costo el reclamo]:[Costo de delivery]])</f>
        <v>-250</v>
      </c>
      <c r="L667" t="s">
        <v>12</v>
      </c>
      <c r="M667" t="s">
        <v>19</v>
      </c>
    </row>
    <row r="668" spans="2:13" x14ac:dyDescent="0.35">
      <c r="B668">
        <v>664</v>
      </c>
      <c r="C668">
        <v>4589</v>
      </c>
      <c r="D668" s="1">
        <v>42906</v>
      </c>
      <c r="E668" s="1">
        <v>43407</v>
      </c>
      <c r="F668" t="s">
        <v>31</v>
      </c>
      <c r="G668" t="s">
        <v>6</v>
      </c>
      <c r="H668">
        <v>2000</v>
      </c>
      <c r="I668">
        <v>800</v>
      </c>
      <c r="J668">
        <v>20</v>
      </c>
      <c r="K668">
        <f>Claim[[#This Row],[Monto de prima]]-SUM(Claim[[#This Row],[Costo el reclamo]:[Costo de delivery]])</f>
        <v>1180</v>
      </c>
      <c r="L668" t="s">
        <v>7</v>
      </c>
      <c r="M668" t="s">
        <v>16</v>
      </c>
    </row>
    <row r="669" spans="2:13" x14ac:dyDescent="0.35">
      <c r="B669">
        <v>665</v>
      </c>
      <c r="C669">
        <v>1060</v>
      </c>
      <c r="D669" s="1">
        <v>42147</v>
      </c>
      <c r="E669" s="1">
        <v>42379</v>
      </c>
      <c r="F669" t="s">
        <v>31</v>
      </c>
      <c r="G669" t="s">
        <v>3</v>
      </c>
      <c r="H669">
        <v>2000</v>
      </c>
      <c r="I669">
        <v>800</v>
      </c>
      <c r="J669">
        <v>30</v>
      </c>
      <c r="K669">
        <f>Claim[[#This Row],[Monto de prima]]-SUM(Claim[[#This Row],[Costo el reclamo]:[Costo de delivery]])</f>
        <v>1170</v>
      </c>
      <c r="L669" t="s">
        <v>10</v>
      </c>
      <c r="M669" t="s">
        <v>16</v>
      </c>
    </row>
    <row r="670" spans="2:13" x14ac:dyDescent="0.35">
      <c r="B670">
        <v>666</v>
      </c>
      <c r="C670">
        <v>2809</v>
      </c>
      <c r="D670" s="1">
        <v>40759</v>
      </c>
      <c r="E670" s="1">
        <v>41427</v>
      </c>
      <c r="F670" t="s">
        <v>31</v>
      </c>
      <c r="G670" t="s">
        <v>3</v>
      </c>
      <c r="H670">
        <v>2000</v>
      </c>
      <c r="I670">
        <v>800</v>
      </c>
      <c r="J670">
        <v>30</v>
      </c>
      <c r="K670">
        <f>Claim[[#This Row],[Monto de prima]]-SUM(Claim[[#This Row],[Costo el reclamo]:[Costo de delivery]])</f>
        <v>1170</v>
      </c>
      <c r="L670" t="s">
        <v>13</v>
      </c>
      <c r="M670" t="s">
        <v>14</v>
      </c>
    </row>
    <row r="671" spans="2:13" x14ac:dyDescent="0.35">
      <c r="B671">
        <v>667</v>
      </c>
      <c r="C671">
        <v>1731</v>
      </c>
      <c r="D671" s="1">
        <v>41208</v>
      </c>
      <c r="E671" s="1">
        <v>41677</v>
      </c>
      <c r="F671" t="s">
        <v>30</v>
      </c>
      <c r="G671" t="s">
        <v>6</v>
      </c>
      <c r="H671">
        <v>600</v>
      </c>
      <c r="I671">
        <v>200</v>
      </c>
      <c r="J671">
        <v>15</v>
      </c>
      <c r="K671">
        <f>Claim[[#This Row],[Monto de prima]]-SUM(Claim[[#This Row],[Costo el reclamo]:[Costo de delivery]])</f>
        <v>385</v>
      </c>
      <c r="L671" t="s">
        <v>10</v>
      </c>
      <c r="M671" t="s">
        <v>16</v>
      </c>
    </row>
    <row r="672" spans="2:13" x14ac:dyDescent="0.35">
      <c r="B672">
        <v>668</v>
      </c>
      <c r="C672">
        <v>1011</v>
      </c>
      <c r="D672" s="1">
        <v>43120</v>
      </c>
      <c r="E672" s="1">
        <v>43120</v>
      </c>
      <c r="F672" t="s">
        <v>1</v>
      </c>
      <c r="G672" t="s">
        <v>2</v>
      </c>
      <c r="H672">
        <v>250</v>
      </c>
      <c r="I672">
        <v>450</v>
      </c>
      <c r="J672">
        <v>30</v>
      </c>
      <c r="K672">
        <f>Claim[[#This Row],[Monto de prima]]-SUM(Claim[[#This Row],[Costo el reclamo]:[Costo de delivery]])</f>
        <v>-230</v>
      </c>
      <c r="L672" t="s">
        <v>11</v>
      </c>
      <c r="M672" t="s">
        <v>18</v>
      </c>
    </row>
    <row r="673" spans="2:13" x14ac:dyDescent="0.35">
      <c r="B673">
        <v>669</v>
      </c>
      <c r="C673">
        <v>1786</v>
      </c>
      <c r="D673" s="1">
        <v>43210</v>
      </c>
      <c r="E673" s="1">
        <v>43823</v>
      </c>
      <c r="F673" t="s">
        <v>1</v>
      </c>
      <c r="G673" t="s">
        <v>5</v>
      </c>
      <c r="H673">
        <v>250</v>
      </c>
      <c r="I673">
        <v>450</v>
      </c>
      <c r="J673">
        <v>100</v>
      </c>
      <c r="K673">
        <f>Claim[[#This Row],[Monto de prima]]-SUM(Claim[[#This Row],[Costo el reclamo]:[Costo de delivery]])</f>
        <v>-300</v>
      </c>
      <c r="L673" t="s">
        <v>9</v>
      </c>
      <c r="M673" t="s">
        <v>15</v>
      </c>
    </row>
    <row r="674" spans="2:13" x14ac:dyDescent="0.35">
      <c r="B674">
        <v>670</v>
      </c>
      <c r="C674">
        <v>2745</v>
      </c>
      <c r="D674" s="1">
        <v>41146</v>
      </c>
      <c r="E674" s="1">
        <v>41146</v>
      </c>
      <c r="F674" t="s">
        <v>1</v>
      </c>
      <c r="G674" t="s">
        <v>6</v>
      </c>
      <c r="H674">
        <v>250</v>
      </c>
      <c r="I674">
        <v>450</v>
      </c>
      <c r="J674">
        <v>50</v>
      </c>
      <c r="K674">
        <f>Claim[[#This Row],[Monto de prima]]-SUM(Claim[[#This Row],[Costo el reclamo]:[Costo de delivery]])</f>
        <v>-250</v>
      </c>
      <c r="L674" t="s">
        <v>12</v>
      </c>
      <c r="M674" t="s">
        <v>19</v>
      </c>
    </row>
    <row r="675" spans="2:13" x14ac:dyDescent="0.35">
      <c r="B675">
        <v>671</v>
      </c>
      <c r="C675">
        <v>2803</v>
      </c>
      <c r="D675" s="1">
        <v>42906</v>
      </c>
      <c r="E675" s="1">
        <v>42906</v>
      </c>
      <c r="F675" t="s">
        <v>1</v>
      </c>
      <c r="G675" t="s">
        <v>2</v>
      </c>
      <c r="H675">
        <v>250</v>
      </c>
      <c r="I675">
        <v>450</v>
      </c>
      <c r="J675">
        <v>30</v>
      </c>
      <c r="K675">
        <f>Claim[[#This Row],[Monto de prima]]-SUM(Claim[[#This Row],[Costo el reclamo]:[Costo de delivery]])</f>
        <v>-230</v>
      </c>
      <c r="L675" t="s">
        <v>7</v>
      </c>
      <c r="M675" t="s">
        <v>16</v>
      </c>
    </row>
    <row r="676" spans="2:13" x14ac:dyDescent="0.35">
      <c r="B676">
        <v>672</v>
      </c>
      <c r="C676">
        <v>1102</v>
      </c>
      <c r="D676" s="1">
        <v>43051</v>
      </c>
      <c r="E676" s="1">
        <v>43051</v>
      </c>
      <c r="F676" t="s">
        <v>30</v>
      </c>
      <c r="G676" t="s">
        <v>2</v>
      </c>
      <c r="H676">
        <v>600</v>
      </c>
      <c r="I676">
        <v>200</v>
      </c>
      <c r="J676">
        <v>35</v>
      </c>
      <c r="K676">
        <f>Claim[[#This Row],[Monto de prima]]-SUM(Claim[[#This Row],[Costo el reclamo]:[Costo de delivery]])</f>
        <v>365</v>
      </c>
      <c r="L676" t="s">
        <v>7</v>
      </c>
      <c r="M676" t="s">
        <v>16</v>
      </c>
    </row>
    <row r="677" spans="2:13" x14ac:dyDescent="0.35">
      <c r="B677">
        <v>673</v>
      </c>
      <c r="C677">
        <v>2295</v>
      </c>
      <c r="D677" s="1">
        <v>43109</v>
      </c>
      <c r="E677" s="1">
        <v>43109</v>
      </c>
      <c r="F677" t="s">
        <v>31</v>
      </c>
      <c r="G677" t="s">
        <v>3</v>
      </c>
      <c r="H677">
        <v>2000</v>
      </c>
      <c r="I677">
        <v>800</v>
      </c>
      <c r="J677">
        <v>30</v>
      </c>
      <c r="K677">
        <f>Claim[[#This Row],[Monto de prima]]-SUM(Claim[[#This Row],[Costo el reclamo]:[Costo de delivery]])</f>
        <v>1170</v>
      </c>
      <c r="L677" t="s">
        <v>10</v>
      </c>
      <c r="M677" t="s">
        <v>16</v>
      </c>
    </row>
    <row r="678" spans="2:13" x14ac:dyDescent="0.35">
      <c r="B678">
        <v>674</v>
      </c>
      <c r="C678">
        <v>1457</v>
      </c>
      <c r="D678" s="1">
        <v>41652</v>
      </c>
      <c r="E678" s="1">
        <v>42001</v>
      </c>
      <c r="F678" t="s">
        <v>4</v>
      </c>
      <c r="G678" t="s">
        <v>2</v>
      </c>
      <c r="H678">
        <v>1000</v>
      </c>
      <c r="I678">
        <v>550</v>
      </c>
      <c r="J678">
        <v>50</v>
      </c>
      <c r="K678">
        <f>Claim[[#This Row],[Monto de prima]]-SUM(Claim[[#This Row],[Costo el reclamo]:[Costo de delivery]])</f>
        <v>400</v>
      </c>
      <c r="L678" t="s">
        <v>13</v>
      </c>
      <c r="M678" t="s">
        <v>14</v>
      </c>
    </row>
    <row r="679" spans="2:13" x14ac:dyDescent="0.35">
      <c r="B679">
        <v>675</v>
      </c>
      <c r="C679">
        <v>4692</v>
      </c>
      <c r="D679" s="1">
        <v>43089</v>
      </c>
      <c r="E679" s="1">
        <v>43089</v>
      </c>
      <c r="F679" t="s">
        <v>4</v>
      </c>
      <c r="G679" t="s">
        <v>6</v>
      </c>
      <c r="H679">
        <v>1000</v>
      </c>
      <c r="I679">
        <v>550</v>
      </c>
      <c r="J679">
        <v>30</v>
      </c>
      <c r="K679">
        <f>Claim[[#This Row],[Monto de prima]]-SUM(Claim[[#This Row],[Costo el reclamo]:[Costo de delivery]])</f>
        <v>420</v>
      </c>
      <c r="L679" t="s">
        <v>12</v>
      </c>
      <c r="M679" t="s">
        <v>19</v>
      </c>
    </row>
    <row r="680" spans="2:13" x14ac:dyDescent="0.35">
      <c r="B680">
        <v>676</v>
      </c>
      <c r="C680">
        <v>3581</v>
      </c>
      <c r="D680" s="1">
        <v>43164</v>
      </c>
      <c r="E680" s="1">
        <v>43164</v>
      </c>
      <c r="F680" t="s">
        <v>1</v>
      </c>
      <c r="G680" t="s">
        <v>2</v>
      </c>
      <c r="H680">
        <v>250</v>
      </c>
      <c r="I680">
        <v>450</v>
      </c>
      <c r="J680">
        <v>30</v>
      </c>
      <c r="K680">
        <f>Claim[[#This Row],[Monto de prima]]-SUM(Claim[[#This Row],[Costo el reclamo]:[Costo de delivery]])</f>
        <v>-230</v>
      </c>
      <c r="L680" t="s">
        <v>10</v>
      </c>
      <c r="M680" t="s">
        <v>16</v>
      </c>
    </row>
    <row r="681" spans="2:13" x14ac:dyDescent="0.35">
      <c r="B681">
        <v>677</v>
      </c>
      <c r="C681">
        <v>4409</v>
      </c>
      <c r="D681" s="1">
        <v>41778</v>
      </c>
      <c r="E681" s="1">
        <v>42586</v>
      </c>
      <c r="F681" t="s">
        <v>4</v>
      </c>
      <c r="G681" t="s">
        <v>5</v>
      </c>
      <c r="H681">
        <v>1000</v>
      </c>
      <c r="I681">
        <v>550</v>
      </c>
      <c r="J681">
        <v>50</v>
      </c>
      <c r="K681">
        <f>Claim[[#This Row],[Monto de prima]]-SUM(Claim[[#This Row],[Costo el reclamo]:[Costo de delivery]])</f>
        <v>400</v>
      </c>
      <c r="L681" t="s">
        <v>9</v>
      </c>
      <c r="M681" t="s">
        <v>15</v>
      </c>
    </row>
    <row r="682" spans="2:13" x14ac:dyDescent="0.35">
      <c r="B682">
        <v>678</v>
      </c>
      <c r="C682">
        <v>2762</v>
      </c>
      <c r="D682" s="1">
        <v>41817</v>
      </c>
      <c r="E682" s="1">
        <v>42444</v>
      </c>
      <c r="F682" t="s">
        <v>1</v>
      </c>
      <c r="G682" t="s">
        <v>6</v>
      </c>
      <c r="H682">
        <v>250</v>
      </c>
      <c r="I682">
        <v>450</v>
      </c>
      <c r="J682">
        <v>50</v>
      </c>
      <c r="K682">
        <f>Claim[[#This Row],[Monto de prima]]-SUM(Claim[[#This Row],[Costo el reclamo]:[Costo de delivery]])</f>
        <v>-250</v>
      </c>
      <c r="L682" t="s">
        <v>13</v>
      </c>
      <c r="M682" t="s">
        <v>14</v>
      </c>
    </row>
    <row r="683" spans="2:13" x14ac:dyDescent="0.35">
      <c r="B683">
        <v>679</v>
      </c>
      <c r="C683">
        <v>2542</v>
      </c>
      <c r="D683" s="1">
        <v>41808</v>
      </c>
      <c r="E683" s="1">
        <v>43684</v>
      </c>
      <c r="F683" t="s">
        <v>31</v>
      </c>
      <c r="G683" t="s">
        <v>6</v>
      </c>
      <c r="H683">
        <v>2000</v>
      </c>
      <c r="I683">
        <v>800</v>
      </c>
      <c r="J683">
        <v>20</v>
      </c>
      <c r="K683">
        <f>Claim[[#This Row],[Monto de prima]]-SUM(Claim[[#This Row],[Costo el reclamo]:[Costo de delivery]])</f>
        <v>1180</v>
      </c>
      <c r="L683" t="s">
        <v>12</v>
      </c>
      <c r="M683" t="s">
        <v>19</v>
      </c>
    </row>
    <row r="684" spans="2:13" x14ac:dyDescent="0.35">
      <c r="B684">
        <v>680</v>
      </c>
      <c r="C684">
        <v>2387</v>
      </c>
      <c r="D684" s="1">
        <v>42877</v>
      </c>
      <c r="E684" s="1">
        <v>42877</v>
      </c>
      <c r="F684" t="s">
        <v>1</v>
      </c>
      <c r="G684" t="s">
        <v>5</v>
      </c>
      <c r="H684">
        <v>250</v>
      </c>
      <c r="I684">
        <v>450</v>
      </c>
      <c r="J684">
        <v>100</v>
      </c>
      <c r="K684">
        <f>Claim[[#This Row],[Monto de prima]]-SUM(Claim[[#This Row],[Costo el reclamo]:[Costo de delivery]])</f>
        <v>-300</v>
      </c>
      <c r="L684" t="s">
        <v>11</v>
      </c>
      <c r="M684" t="s">
        <v>18</v>
      </c>
    </row>
    <row r="685" spans="2:13" x14ac:dyDescent="0.35">
      <c r="B685">
        <v>681</v>
      </c>
      <c r="C685">
        <v>3503</v>
      </c>
      <c r="D685" s="1">
        <v>41486</v>
      </c>
      <c r="E685" s="1">
        <v>42424</v>
      </c>
      <c r="F685" t="s">
        <v>1</v>
      </c>
      <c r="G685" t="s">
        <v>3</v>
      </c>
      <c r="H685">
        <v>250</v>
      </c>
      <c r="I685">
        <v>450</v>
      </c>
      <c r="J685">
        <v>80</v>
      </c>
      <c r="K685">
        <f>Claim[[#This Row],[Monto de prima]]-SUM(Claim[[#This Row],[Costo el reclamo]:[Costo de delivery]])</f>
        <v>-280</v>
      </c>
      <c r="L685" t="s">
        <v>7</v>
      </c>
      <c r="M685" t="s">
        <v>16</v>
      </c>
    </row>
    <row r="686" spans="2:13" x14ac:dyDescent="0.35">
      <c r="B686">
        <v>682</v>
      </c>
      <c r="C686">
        <v>2355</v>
      </c>
      <c r="D686" s="1">
        <v>42949</v>
      </c>
      <c r="E686" s="1">
        <v>43470</v>
      </c>
      <c r="F686" t="s">
        <v>30</v>
      </c>
      <c r="G686" t="s">
        <v>5</v>
      </c>
      <c r="H686">
        <v>600</v>
      </c>
      <c r="I686">
        <v>200</v>
      </c>
      <c r="J686">
        <v>50</v>
      </c>
      <c r="K686">
        <f>Claim[[#This Row],[Monto de prima]]-SUM(Claim[[#This Row],[Costo el reclamo]:[Costo de delivery]])</f>
        <v>350</v>
      </c>
      <c r="L686" t="s">
        <v>10</v>
      </c>
      <c r="M686" t="s">
        <v>16</v>
      </c>
    </row>
    <row r="687" spans="2:13" x14ac:dyDescent="0.35">
      <c r="B687">
        <v>683</v>
      </c>
      <c r="C687">
        <v>4178</v>
      </c>
      <c r="D687" s="1">
        <v>42907</v>
      </c>
      <c r="E687" s="1">
        <v>42907</v>
      </c>
      <c r="F687" t="s">
        <v>30</v>
      </c>
      <c r="G687" t="s">
        <v>6</v>
      </c>
      <c r="H687">
        <v>600</v>
      </c>
      <c r="I687">
        <v>200</v>
      </c>
      <c r="J687">
        <v>15</v>
      </c>
      <c r="K687">
        <f>Claim[[#This Row],[Monto de prima]]-SUM(Claim[[#This Row],[Costo el reclamo]:[Costo de delivery]])</f>
        <v>385</v>
      </c>
      <c r="L687" t="s">
        <v>13</v>
      </c>
      <c r="M687" t="s">
        <v>14</v>
      </c>
    </row>
    <row r="688" spans="2:13" x14ac:dyDescent="0.35">
      <c r="B688">
        <v>684</v>
      </c>
      <c r="C688">
        <v>2961</v>
      </c>
      <c r="D688" s="1">
        <v>43191</v>
      </c>
      <c r="E688" s="1">
        <v>43191</v>
      </c>
      <c r="F688" t="s">
        <v>30</v>
      </c>
      <c r="G688" t="s">
        <v>5</v>
      </c>
      <c r="H688">
        <v>600</v>
      </c>
      <c r="I688">
        <v>200</v>
      </c>
      <c r="J688">
        <v>50</v>
      </c>
      <c r="K688">
        <f>Claim[[#This Row],[Monto de prima]]-SUM(Claim[[#This Row],[Costo el reclamo]:[Costo de delivery]])</f>
        <v>350</v>
      </c>
      <c r="L688" t="s">
        <v>8</v>
      </c>
      <c r="M688" t="s">
        <v>17</v>
      </c>
    </row>
    <row r="689" spans="2:13" x14ac:dyDescent="0.35">
      <c r="B689">
        <v>685</v>
      </c>
      <c r="C689">
        <v>1682</v>
      </c>
      <c r="D689" s="1">
        <v>40769</v>
      </c>
      <c r="E689" s="1">
        <v>43846</v>
      </c>
      <c r="F689" t="s">
        <v>1</v>
      </c>
      <c r="G689" t="s">
        <v>6</v>
      </c>
      <c r="H689">
        <v>250</v>
      </c>
      <c r="I689">
        <v>450</v>
      </c>
      <c r="J689">
        <v>50</v>
      </c>
      <c r="K689">
        <f>Claim[[#This Row],[Monto de prima]]-SUM(Claim[[#This Row],[Costo el reclamo]:[Costo de delivery]])</f>
        <v>-250</v>
      </c>
      <c r="L689" t="s">
        <v>10</v>
      </c>
      <c r="M689" t="s">
        <v>16</v>
      </c>
    </row>
    <row r="690" spans="2:13" x14ac:dyDescent="0.35">
      <c r="B690">
        <v>686</v>
      </c>
      <c r="C690">
        <v>2585</v>
      </c>
      <c r="D690" s="1">
        <v>40849</v>
      </c>
      <c r="E690" s="1">
        <v>43343</v>
      </c>
      <c r="F690" t="s">
        <v>31</v>
      </c>
      <c r="G690" t="s">
        <v>5</v>
      </c>
      <c r="H690">
        <v>2000</v>
      </c>
      <c r="I690">
        <v>800</v>
      </c>
      <c r="J690">
        <v>25</v>
      </c>
      <c r="K690">
        <f>Claim[[#This Row],[Monto de prima]]-SUM(Claim[[#This Row],[Costo el reclamo]:[Costo de delivery]])</f>
        <v>1175</v>
      </c>
      <c r="L690" t="s">
        <v>9</v>
      </c>
      <c r="M690" t="s">
        <v>15</v>
      </c>
    </row>
    <row r="691" spans="2:13" x14ac:dyDescent="0.35">
      <c r="B691">
        <v>687</v>
      </c>
      <c r="C691">
        <v>4730</v>
      </c>
      <c r="D691" s="1">
        <v>40279</v>
      </c>
      <c r="E691" s="1">
        <v>43114</v>
      </c>
      <c r="F691" t="s">
        <v>4</v>
      </c>
      <c r="G691" t="s">
        <v>3</v>
      </c>
      <c r="H691">
        <v>1000</v>
      </c>
      <c r="I691">
        <v>550</v>
      </c>
      <c r="J691">
        <v>80</v>
      </c>
      <c r="K691">
        <f>Claim[[#This Row],[Monto de prima]]-SUM(Claim[[#This Row],[Costo el reclamo]:[Costo de delivery]])</f>
        <v>370</v>
      </c>
      <c r="L691" t="s">
        <v>12</v>
      </c>
      <c r="M691" t="s">
        <v>19</v>
      </c>
    </row>
    <row r="692" spans="2:13" x14ac:dyDescent="0.35">
      <c r="B692">
        <v>688</v>
      </c>
      <c r="C692">
        <v>4255</v>
      </c>
      <c r="D692" s="1">
        <v>40784</v>
      </c>
      <c r="E692" s="1">
        <v>42743</v>
      </c>
      <c r="F692" t="s">
        <v>30</v>
      </c>
      <c r="G692" t="s">
        <v>5</v>
      </c>
      <c r="H692">
        <v>600</v>
      </c>
      <c r="I692">
        <v>200</v>
      </c>
      <c r="J692">
        <v>50</v>
      </c>
      <c r="K692">
        <f>Claim[[#This Row],[Monto de prima]]-SUM(Claim[[#This Row],[Costo el reclamo]:[Costo de delivery]])</f>
        <v>350</v>
      </c>
      <c r="L692" t="s">
        <v>8</v>
      </c>
      <c r="M692" t="s">
        <v>17</v>
      </c>
    </row>
    <row r="693" spans="2:13" x14ac:dyDescent="0.35">
      <c r="B693">
        <v>689</v>
      </c>
      <c r="C693">
        <v>3202</v>
      </c>
      <c r="D693" s="1">
        <v>40838</v>
      </c>
      <c r="E693" s="1">
        <v>43351</v>
      </c>
      <c r="F693" t="s">
        <v>30</v>
      </c>
      <c r="G693" t="s">
        <v>6</v>
      </c>
      <c r="H693">
        <v>600</v>
      </c>
      <c r="I693">
        <v>200</v>
      </c>
      <c r="J693">
        <v>15</v>
      </c>
      <c r="K693">
        <f>Claim[[#This Row],[Monto de prima]]-SUM(Claim[[#This Row],[Costo el reclamo]:[Costo de delivery]])</f>
        <v>385</v>
      </c>
      <c r="L693" t="s">
        <v>13</v>
      </c>
      <c r="M693" t="s">
        <v>14</v>
      </c>
    </row>
    <row r="694" spans="2:13" x14ac:dyDescent="0.35">
      <c r="B694">
        <v>690</v>
      </c>
      <c r="C694">
        <v>3112</v>
      </c>
      <c r="D694" s="1">
        <v>41242</v>
      </c>
      <c r="E694" s="1">
        <v>41242</v>
      </c>
      <c r="F694" t="s">
        <v>30</v>
      </c>
      <c r="G694" t="s">
        <v>2</v>
      </c>
      <c r="H694">
        <v>600</v>
      </c>
      <c r="I694">
        <v>200</v>
      </c>
      <c r="J694">
        <v>35</v>
      </c>
      <c r="K694">
        <f>Claim[[#This Row],[Monto de prima]]-SUM(Claim[[#This Row],[Costo el reclamo]:[Costo de delivery]])</f>
        <v>365</v>
      </c>
      <c r="L694" t="s">
        <v>13</v>
      </c>
      <c r="M694" t="s">
        <v>14</v>
      </c>
    </row>
    <row r="695" spans="2:13" x14ac:dyDescent="0.35">
      <c r="B695">
        <v>691</v>
      </c>
      <c r="C695">
        <v>1943</v>
      </c>
      <c r="D695" s="1">
        <v>43117</v>
      </c>
      <c r="E695" s="1">
        <v>43117</v>
      </c>
      <c r="F695" t="s">
        <v>4</v>
      </c>
      <c r="G695" t="s">
        <v>5</v>
      </c>
      <c r="H695">
        <v>1000</v>
      </c>
      <c r="I695">
        <v>550</v>
      </c>
      <c r="J695">
        <v>50</v>
      </c>
      <c r="K695">
        <f>Claim[[#This Row],[Monto de prima]]-SUM(Claim[[#This Row],[Costo el reclamo]:[Costo de delivery]])</f>
        <v>400</v>
      </c>
      <c r="L695" t="s">
        <v>12</v>
      </c>
      <c r="M695" t="s">
        <v>19</v>
      </c>
    </row>
    <row r="696" spans="2:13" x14ac:dyDescent="0.35">
      <c r="B696">
        <v>692</v>
      </c>
      <c r="C696">
        <v>4168</v>
      </c>
      <c r="D696" s="1">
        <v>40510</v>
      </c>
      <c r="E696" s="1">
        <v>41468</v>
      </c>
      <c r="F696" t="s">
        <v>4</v>
      </c>
      <c r="G696" t="s">
        <v>2</v>
      </c>
      <c r="H696">
        <v>1000</v>
      </c>
      <c r="I696">
        <v>550</v>
      </c>
      <c r="J696">
        <v>50</v>
      </c>
      <c r="K696">
        <f>Claim[[#This Row],[Monto de prima]]-SUM(Claim[[#This Row],[Costo el reclamo]:[Costo de delivery]])</f>
        <v>400</v>
      </c>
      <c r="L696" t="s">
        <v>9</v>
      </c>
      <c r="M696" t="s">
        <v>15</v>
      </c>
    </row>
    <row r="697" spans="2:13" x14ac:dyDescent="0.35">
      <c r="B697">
        <v>693</v>
      </c>
      <c r="C697">
        <v>3762</v>
      </c>
      <c r="D697" s="1">
        <v>40214</v>
      </c>
      <c r="E697" s="1">
        <v>42680</v>
      </c>
      <c r="F697" t="s">
        <v>4</v>
      </c>
      <c r="G697" t="s">
        <v>3</v>
      </c>
      <c r="H697">
        <v>1000</v>
      </c>
      <c r="I697">
        <v>550</v>
      </c>
      <c r="J697">
        <v>80</v>
      </c>
      <c r="K697">
        <f>Claim[[#This Row],[Monto de prima]]-SUM(Claim[[#This Row],[Costo el reclamo]:[Costo de delivery]])</f>
        <v>370</v>
      </c>
      <c r="L697" t="s">
        <v>8</v>
      </c>
      <c r="M697" t="s">
        <v>17</v>
      </c>
    </row>
    <row r="698" spans="2:13" x14ac:dyDescent="0.35">
      <c r="B698">
        <v>694</v>
      </c>
      <c r="C698">
        <v>1383</v>
      </c>
      <c r="D698" s="1">
        <v>42023</v>
      </c>
      <c r="E698" s="1">
        <v>42861</v>
      </c>
      <c r="F698" t="s">
        <v>31</v>
      </c>
      <c r="G698" t="s">
        <v>6</v>
      </c>
      <c r="H698">
        <v>2000</v>
      </c>
      <c r="I698">
        <v>800</v>
      </c>
      <c r="J698">
        <v>20</v>
      </c>
      <c r="K698">
        <f>Claim[[#This Row],[Monto de prima]]-SUM(Claim[[#This Row],[Costo el reclamo]:[Costo de delivery]])</f>
        <v>1180</v>
      </c>
      <c r="L698" t="s">
        <v>9</v>
      </c>
      <c r="M698" t="s">
        <v>15</v>
      </c>
    </row>
    <row r="699" spans="2:13" x14ac:dyDescent="0.35">
      <c r="B699">
        <v>695</v>
      </c>
      <c r="C699">
        <v>4227</v>
      </c>
      <c r="D699" s="1">
        <v>41781</v>
      </c>
      <c r="E699" s="1">
        <v>41930</v>
      </c>
      <c r="F699" t="s">
        <v>4</v>
      </c>
      <c r="G699" t="s">
        <v>5</v>
      </c>
      <c r="H699">
        <v>1000</v>
      </c>
      <c r="I699">
        <v>550</v>
      </c>
      <c r="J699">
        <v>50</v>
      </c>
      <c r="K699">
        <f>Claim[[#This Row],[Monto de prima]]-SUM(Claim[[#This Row],[Costo el reclamo]:[Costo de delivery]])</f>
        <v>400</v>
      </c>
      <c r="L699" t="s">
        <v>7</v>
      </c>
      <c r="M699" t="s">
        <v>16</v>
      </c>
    </row>
    <row r="700" spans="2:13" x14ac:dyDescent="0.35">
      <c r="B700">
        <v>696</v>
      </c>
      <c r="C700">
        <v>2701</v>
      </c>
      <c r="D700" s="1">
        <v>40763</v>
      </c>
      <c r="E700" s="1">
        <v>43840</v>
      </c>
      <c r="F700" t="s">
        <v>1</v>
      </c>
      <c r="G700" t="s">
        <v>6</v>
      </c>
      <c r="H700">
        <v>250</v>
      </c>
      <c r="I700">
        <v>450</v>
      </c>
      <c r="J700">
        <v>50</v>
      </c>
      <c r="K700">
        <f>Claim[[#This Row],[Monto de prima]]-SUM(Claim[[#This Row],[Costo el reclamo]:[Costo de delivery]])</f>
        <v>-250</v>
      </c>
      <c r="L700" t="s">
        <v>7</v>
      </c>
      <c r="M700" t="s">
        <v>16</v>
      </c>
    </row>
    <row r="701" spans="2:13" x14ac:dyDescent="0.35">
      <c r="B701">
        <v>697</v>
      </c>
      <c r="C701">
        <v>3257</v>
      </c>
      <c r="D701" s="1">
        <v>42133</v>
      </c>
      <c r="E701" s="1">
        <v>42873</v>
      </c>
      <c r="F701" t="s">
        <v>30</v>
      </c>
      <c r="G701" t="s">
        <v>5</v>
      </c>
      <c r="H701">
        <v>600</v>
      </c>
      <c r="I701">
        <v>200</v>
      </c>
      <c r="J701">
        <v>50</v>
      </c>
      <c r="K701">
        <f>Claim[[#This Row],[Monto de prima]]-SUM(Claim[[#This Row],[Costo el reclamo]:[Costo de delivery]])</f>
        <v>350</v>
      </c>
      <c r="L701" t="s">
        <v>9</v>
      </c>
      <c r="M701" t="s">
        <v>15</v>
      </c>
    </row>
    <row r="702" spans="2:13" x14ac:dyDescent="0.35">
      <c r="B702">
        <v>698</v>
      </c>
      <c r="C702">
        <v>1790</v>
      </c>
      <c r="D702" s="1">
        <v>40867</v>
      </c>
      <c r="E702" s="1">
        <v>41814</v>
      </c>
      <c r="F702" t="s">
        <v>30</v>
      </c>
      <c r="G702" t="s">
        <v>3</v>
      </c>
      <c r="H702">
        <v>600</v>
      </c>
      <c r="I702">
        <v>200</v>
      </c>
      <c r="J702">
        <v>20</v>
      </c>
      <c r="K702">
        <f>Claim[[#This Row],[Monto de prima]]-SUM(Claim[[#This Row],[Costo el reclamo]:[Costo de delivery]])</f>
        <v>380</v>
      </c>
      <c r="L702" t="s">
        <v>13</v>
      </c>
      <c r="M702" t="s">
        <v>14</v>
      </c>
    </row>
    <row r="703" spans="2:13" x14ac:dyDescent="0.35">
      <c r="B703">
        <v>699</v>
      </c>
      <c r="C703">
        <v>1708</v>
      </c>
      <c r="D703" s="1">
        <v>42348</v>
      </c>
      <c r="E703" s="1">
        <v>43560</v>
      </c>
      <c r="F703" t="s">
        <v>31</v>
      </c>
      <c r="G703" t="s">
        <v>6</v>
      </c>
      <c r="H703">
        <v>2000</v>
      </c>
      <c r="I703">
        <v>800</v>
      </c>
      <c r="J703">
        <v>20</v>
      </c>
      <c r="K703">
        <f>Claim[[#This Row],[Monto de prima]]-SUM(Claim[[#This Row],[Costo el reclamo]:[Costo de delivery]])</f>
        <v>1180</v>
      </c>
      <c r="L703" t="s">
        <v>7</v>
      </c>
      <c r="M703" t="s">
        <v>16</v>
      </c>
    </row>
    <row r="704" spans="2:13" x14ac:dyDescent="0.35">
      <c r="B704">
        <v>700</v>
      </c>
      <c r="C704">
        <v>2575</v>
      </c>
      <c r="D704" s="1">
        <v>41590</v>
      </c>
      <c r="E704" s="1">
        <v>43112</v>
      </c>
      <c r="F704" t="s">
        <v>4</v>
      </c>
      <c r="G704" t="s">
        <v>2</v>
      </c>
      <c r="H704">
        <v>1000</v>
      </c>
      <c r="I704">
        <v>550</v>
      </c>
      <c r="J704">
        <v>50</v>
      </c>
      <c r="K704">
        <f>Claim[[#This Row],[Monto de prima]]-SUM(Claim[[#This Row],[Costo el reclamo]:[Costo de delivery]])</f>
        <v>400</v>
      </c>
      <c r="L704" t="s">
        <v>7</v>
      </c>
      <c r="M704" t="s">
        <v>16</v>
      </c>
    </row>
    <row r="705" spans="2:13" x14ac:dyDescent="0.35">
      <c r="B705">
        <v>701</v>
      </c>
      <c r="C705">
        <v>1486</v>
      </c>
      <c r="D705" s="1">
        <v>40893</v>
      </c>
      <c r="E705" s="1">
        <v>43164</v>
      </c>
      <c r="F705" t="s">
        <v>30</v>
      </c>
      <c r="G705" t="s">
        <v>5</v>
      </c>
      <c r="H705">
        <v>600</v>
      </c>
      <c r="I705">
        <v>200</v>
      </c>
      <c r="J705">
        <v>50</v>
      </c>
      <c r="K705">
        <f>Claim[[#This Row],[Monto de prima]]-SUM(Claim[[#This Row],[Costo el reclamo]:[Costo de delivery]])</f>
        <v>350</v>
      </c>
      <c r="L705" t="s">
        <v>8</v>
      </c>
      <c r="M705" t="s">
        <v>17</v>
      </c>
    </row>
    <row r="706" spans="2:13" x14ac:dyDescent="0.35">
      <c r="B706">
        <v>702</v>
      </c>
      <c r="C706">
        <v>4014</v>
      </c>
      <c r="D706" s="1">
        <v>42850</v>
      </c>
      <c r="E706" s="1">
        <v>42939</v>
      </c>
      <c r="F706" t="s">
        <v>1</v>
      </c>
      <c r="G706" t="s">
        <v>2</v>
      </c>
      <c r="H706">
        <v>250</v>
      </c>
      <c r="I706">
        <v>450</v>
      </c>
      <c r="J706">
        <v>30</v>
      </c>
      <c r="K706">
        <f>Claim[[#This Row],[Monto de prima]]-SUM(Claim[[#This Row],[Costo el reclamo]:[Costo de delivery]])</f>
        <v>-230</v>
      </c>
      <c r="L706" t="s">
        <v>10</v>
      </c>
      <c r="M706" t="s">
        <v>16</v>
      </c>
    </row>
    <row r="707" spans="2:13" x14ac:dyDescent="0.35">
      <c r="B707">
        <v>703</v>
      </c>
      <c r="C707">
        <v>1291</v>
      </c>
      <c r="D707" s="1">
        <v>42062</v>
      </c>
      <c r="E707" s="1">
        <v>43698</v>
      </c>
      <c r="F707" t="s">
        <v>31</v>
      </c>
      <c r="G707" t="s">
        <v>2</v>
      </c>
      <c r="H707">
        <v>2000</v>
      </c>
      <c r="I707">
        <v>800</v>
      </c>
      <c r="J707">
        <v>40</v>
      </c>
      <c r="K707">
        <f>Claim[[#This Row],[Monto de prima]]-SUM(Claim[[#This Row],[Costo el reclamo]:[Costo de delivery]])</f>
        <v>1160</v>
      </c>
      <c r="L707" t="s">
        <v>7</v>
      </c>
      <c r="M707" t="s">
        <v>16</v>
      </c>
    </row>
    <row r="708" spans="2:13" x14ac:dyDescent="0.35">
      <c r="B708">
        <v>704</v>
      </c>
      <c r="C708">
        <v>1122</v>
      </c>
      <c r="D708" s="1">
        <v>41656</v>
      </c>
      <c r="E708" s="1">
        <v>41656</v>
      </c>
      <c r="F708" t="s">
        <v>4</v>
      </c>
      <c r="G708" t="s">
        <v>5</v>
      </c>
      <c r="H708">
        <v>1000</v>
      </c>
      <c r="I708">
        <v>550</v>
      </c>
      <c r="J708">
        <v>50</v>
      </c>
      <c r="K708">
        <f>Claim[[#This Row],[Monto de prima]]-SUM(Claim[[#This Row],[Costo el reclamo]:[Costo de delivery]])</f>
        <v>400</v>
      </c>
      <c r="L708" t="s">
        <v>13</v>
      </c>
      <c r="M708" t="s">
        <v>14</v>
      </c>
    </row>
    <row r="709" spans="2:13" x14ac:dyDescent="0.35">
      <c r="B709">
        <v>705</v>
      </c>
      <c r="C709">
        <v>1590</v>
      </c>
      <c r="D709" s="1">
        <v>42505</v>
      </c>
      <c r="E709" s="1">
        <v>42505</v>
      </c>
      <c r="F709" t="s">
        <v>4</v>
      </c>
      <c r="G709" t="s">
        <v>3</v>
      </c>
      <c r="H709">
        <v>1000</v>
      </c>
      <c r="I709">
        <v>550</v>
      </c>
      <c r="J709">
        <v>80</v>
      </c>
      <c r="K709">
        <f>Claim[[#This Row],[Monto de prima]]-SUM(Claim[[#This Row],[Costo el reclamo]:[Costo de delivery]])</f>
        <v>370</v>
      </c>
      <c r="L709" t="s">
        <v>13</v>
      </c>
      <c r="M709" t="s">
        <v>14</v>
      </c>
    </row>
    <row r="710" spans="2:13" x14ac:dyDescent="0.35">
      <c r="B710">
        <v>706</v>
      </c>
      <c r="C710">
        <v>4093</v>
      </c>
      <c r="D710" s="1">
        <v>40699</v>
      </c>
      <c r="E710" s="1">
        <v>42693</v>
      </c>
      <c r="F710" t="s">
        <v>4</v>
      </c>
      <c r="G710" t="s">
        <v>3</v>
      </c>
      <c r="H710">
        <v>1000</v>
      </c>
      <c r="I710">
        <v>550</v>
      </c>
      <c r="J710">
        <v>80</v>
      </c>
      <c r="K710">
        <f>Claim[[#This Row],[Monto de prima]]-SUM(Claim[[#This Row],[Costo el reclamo]:[Costo de delivery]])</f>
        <v>370</v>
      </c>
      <c r="L710" t="s">
        <v>9</v>
      </c>
      <c r="M710" t="s">
        <v>15</v>
      </c>
    </row>
    <row r="711" spans="2:13" x14ac:dyDescent="0.35">
      <c r="B711">
        <v>707</v>
      </c>
      <c r="C711">
        <v>2204</v>
      </c>
      <c r="D711" s="1">
        <v>43051</v>
      </c>
      <c r="E711" s="1">
        <v>43051</v>
      </c>
      <c r="F711" t="s">
        <v>30</v>
      </c>
      <c r="G711" t="s">
        <v>2</v>
      </c>
      <c r="H711">
        <v>600</v>
      </c>
      <c r="I711">
        <v>200</v>
      </c>
      <c r="J711">
        <v>35</v>
      </c>
      <c r="K711">
        <f>Claim[[#This Row],[Monto de prima]]-SUM(Claim[[#This Row],[Costo el reclamo]:[Costo de delivery]])</f>
        <v>365</v>
      </c>
      <c r="L711" t="s">
        <v>8</v>
      </c>
      <c r="M711" t="s">
        <v>17</v>
      </c>
    </row>
    <row r="712" spans="2:13" x14ac:dyDescent="0.35">
      <c r="B712">
        <v>708</v>
      </c>
      <c r="C712">
        <v>3157</v>
      </c>
      <c r="D712" s="1">
        <v>40299</v>
      </c>
      <c r="E712" s="1">
        <v>41589</v>
      </c>
      <c r="F712" t="s">
        <v>31</v>
      </c>
      <c r="G712" t="s">
        <v>5</v>
      </c>
      <c r="H712">
        <v>2000</v>
      </c>
      <c r="I712">
        <v>800</v>
      </c>
      <c r="J712">
        <v>25</v>
      </c>
      <c r="K712">
        <f>Claim[[#This Row],[Monto de prima]]-SUM(Claim[[#This Row],[Costo el reclamo]:[Costo de delivery]])</f>
        <v>1175</v>
      </c>
      <c r="L712" t="s">
        <v>12</v>
      </c>
      <c r="M712" t="s">
        <v>19</v>
      </c>
    </row>
    <row r="713" spans="2:13" x14ac:dyDescent="0.35">
      <c r="B713">
        <v>709</v>
      </c>
      <c r="C713">
        <v>2751</v>
      </c>
      <c r="D713" s="1">
        <v>42286</v>
      </c>
      <c r="E713" s="1">
        <v>43857</v>
      </c>
      <c r="F713" t="s">
        <v>1</v>
      </c>
      <c r="G713" t="s">
        <v>5</v>
      </c>
      <c r="H713">
        <v>250</v>
      </c>
      <c r="I713">
        <v>450</v>
      </c>
      <c r="J713">
        <v>100</v>
      </c>
      <c r="K713">
        <f>Claim[[#This Row],[Monto de prima]]-SUM(Claim[[#This Row],[Costo el reclamo]:[Costo de delivery]])</f>
        <v>-300</v>
      </c>
      <c r="L713" t="s">
        <v>11</v>
      </c>
      <c r="M713" t="s">
        <v>18</v>
      </c>
    </row>
    <row r="714" spans="2:13" x14ac:dyDescent="0.35">
      <c r="B714">
        <v>710</v>
      </c>
      <c r="C714">
        <v>3757</v>
      </c>
      <c r="D714" s="1">
        <v>40804</v>
      </c>
      <c r="E714" s="1">
        <v>41144</v>
      </c>
      <c r="F714" t="s">
        <v>30</v>
      </c>
      <c r="G714" t="s">
        <v>3</v>
      </c>
      <c r="H714">
        <v>600</v>
      </c>
      <c r="I714">
        <v>200</v>
      </c>
      <c r="J714">
        <v>20</v>
      </c>
      <c r="K714">
        <f>Claim[[#This Row],[Monto de prima]]-SUM(Claim[[#This Row],[Costo el reclamo]:[Costo de delivery]])</f>
        <v>380</v>
      </c>
      <c r="L714" t="s">
        <v>10</v>
      </c>
      <c r="M714" t="s">
        <v>16</v>
      </c>
    </row>
    <row r="715" spans="2:13" x14ac:dyDescent="0.35">
      <c r="B715">
        <v>711</v>
      </c>
      <c r="C715">
        <v>3082</v>
      </c>
      <c r="D715" s="1">
        <v>42389</v>
      </c>
      <c r="E715" s="1">
        <v>42389</v>
      </c>
      <c r="F715" t="s">
        <v>31</v>
      </c>
      <c r="G715" t="s">
        <v>5</v>
      </c>
      <c r="H715">
        <v>2000</v>
      </c>
      <c r="I715">
        <v>800</v>
      </c>
      <c r="J715">
        <v>25</v>
      </c>
      <c r="K715">
        <f>Claim[[#This Row],[Monto de prima]]-SUM(Claim[[#This Row],[Costo el reclamo]:[Costo de delivery]])</f>
        <v>1175</v>
      </c>
      <c r="L715" t="s">
        <v>10</v>
      </c>
      <c r="M715" t="s">
        <v>16</v>
      </c>
    </row>
    <row r="716" spans="2:13" x14ac:dyDescent="0.35">
      <c r="B716">
        <v>712</v>
      </c>
      <c r="C716">
        <v>3320</v>
      </c>
      <c r="D716" s="1">
        <v>43218</v>
      </c>
      <c r="E716" s="1">
        <v>43218</v>
      </c>
      <c r="F716" t="s">
        <v>31</v>
      </c>
      <c r="G716" t="s">
        <v>2</v>
      </c>
      <c r="H716">
        <v>2000</v>
      </c>
      <c r="I716">
        <v>800</v>
      </c>
      <c r="J716">
        <v>40</v>
      </c>
      <c r="K716">
        <f>Claim[[#This Row],[Monto de prima]]-SUM(Claim[[#This Row],[Costo el reclamo]:[Costo de delivery]])</f>
        <v>1160</v>
      </c>
      <c r="L716" t="s">
        <v>10</v>
      </c>
      <c r="M716" t="s">
        <v>16</v>
      </c>
    </row>
    <row r="717" spans="2:13" x14ac:dyDescent="0.35">
      <c r="B717">
        <v>713</v>
      </c>
      <c r="C717">
        <v>3593</v>
      </c>
      <c r="D717" s="1">
        <v>41111</v>
      </c>
      <c r="E717" s="1">
        <v>41665</v>
      </c>
      <c r="F717" t="s">
        <v>30</v>
      </c>
      <c r="G717" t="s">
        <v>6</v>
      </c>
      <c r="H717">
        <v>600</v>
      </c>
      <c r="I717">
        <v>200</v>
      </c>
      <c r="J717">
        <v>15</v>
      </c>
      <c r="K717">
        <f>Claim[[#This Row],[Monto de prima]]-SUM(Claim[[#This Row],[Costo el reclamo]:[Costo de delivery]])</f>
        <v>385</v>
      </c>
      <c r="L717" t="s">
        <v>11</v>
      </c>
      <c r="M717" t="s">
        <v>18</v>
      </c>
    </row>
    <row r="718" spans="2:13" x14ac:dyDescent="0.35">
      <c r="B718">
        <v>714</v>
      </c>
      <c r="C718">
        <v>1314</v>
      </c>
      <c r="D718" s="1">
        <v>40432</v>
      </c>
      <c r="E718" s="1">
        <v>43329</v>
      </c>
      <c r="F718" t="s">
        <v>31</v>
      </c>
      <c r="G718" t="s">
        <v>5</v>
      </c>
      <c r="H718">
        <v>2000</v>
      </c>
      <c r="I718">
        <v>800</v>
      </c>
      <c r="J718">
        <v>25</v>
      </c>
      <c r="K718">
        <f>Claim[[#This Row],[Monto de prima]]-SUM(Claim[[#This Row],[Costo el reclamo]:[Costo de delivery]])</f>
        <v>1175</v>
      </c>
      <c r="L718" t="s">
        <v>9</v>
      </c>
      <c r="M718" t="s">
        <v>15</v>
      </c>
    </row>
    <row r="719" spans="2:13" x14ac:dyDescent="0.35">
      <c r="B719">
        <v>715</v>
      </c>
      <c r="C719">
        <v>1989</v>
      </c>
      <c r="D719" s="1">
        <v>41225</v>
      </c>
      <c r="E719" s="1">
        <v>41641</v>
      </c>
      <c r="F719" t="s">
        <v>31</v>
      </c>
      <c r="G719" t="s">
        <v>2</v>
      </c>
      <c r="H719">
        <v>2000</v>
      </c>
      <c r="I719">
        <v>800</v>
      </c>
      <c r="J719">
        <v>40</v>
      </c>
      <c r="K719">
        <f>Claim[[#This Row],[Monto de prima]]-SUM(Claim[[#This Row],[Costo el reclamo]:[Costo de delivery]])</f>
        <v>1160</v>
      </c>
      <c r="L719" t="s">
        <v>11</v>
      </c>
      <c r="M719" t="s">
        <v>18</v>
      </c>
    </row>
    <row r="720" spans="2:13" x14ac:dyDescent="0.35">
      <c r="B720">
        <v>716</v>
      </c>
      <c r="C720">
        <v>1374</v>
      </c>
      <c r="D720" s="1">
        <v>41134</v>
      </c>
      <c r="E720" s="1">
        <v>42302</v>
      </c>
      <c r="F720" t="s">
        <v>31</v>
      </c>
      <c r="G720" t="s">
        <v>6</v>
      </c>
      <c r="H720">
        <v>2000</v>
      </c>
      <c r="I720">
        <v>800</v>
      </c>
      <c r="J720">
        <v>20</v>
      </c>
      <c r="K720">
        <f>Claim[[#This Row],[Monto de prima]]-SUM(Claim[[#This Row],[Costo el reclamo]:[Costo de delivery]])</f>
        <v>1180</v>
      </c>
      <c r="L720" t="s">
        <v>10</v>
      </c>
      <c r="M720" t="s">
        <v>16</v>
      </c>
    </row>
    <row r="721" spans="2:13" x14ac:dyDescent="0.35">
      <c r="B721">
        <v>717</v>
      </c>
      <c r="C721">
        <v>1404</v>
      </c>
      <c r="D721" s="1">
        <v>41268</v>
      </c>
      <c r="E721" s="1">
        <v>41333</v>
      </c>
      <c r="F721" t="s">
        <v>31</v>
      </c>
      <c r="G721" t="s">
        <v>2</v>
      </c>
      <c r="H721">
        <v>2000</v>
      </c>
      <c r="I721">
        <v>800</v>
      </c>
      <c r="J721">
        <v>40</v>
      </c>
      <c r="K721">
        <f>Claim[[#This Row],[Monto de prima]]-SUM(Claim[[#This Row],[Costo el reclamo]:[Costo de delivery]])</f>
        <v>1160</v>
      </c>
      <c r="L721" t="s">
        <v>9</v>
      </c>
      <c r="M721" t="s">
        <v>15</v>
      </c>
    </row>
    <row r="722" spans="2:13" x14ac:dyDescent="0.35">
      <c r="B722">
        <v>718</v>
      </c>
      <c r="C722">
        <v>3922</v>
      </c>
      <c r="D722" s="1">
        <v>40298</v>
      </c>
      <c r="E722" s="1">
        <v>42450</v>
      </c>
      <c r="F722" t="s">
        <v>1</v>
      </c>
      <c r="G722" t="s">
        <v>5</v>
      </c>
      <c r="H722">
        <v>250</v>
      </c>
      <c r="I722">
        <v>450</v>
      </c>
      <c r="J722">
        <v>100</v>
      </c>
      <c r="K722">
        <f>Claim[[#This Row],[Monto de prima]]-SUM(Claim[[#This Row],[Costo el reclamo]:[Costo de delivery]])</f>
        <v>-300</v>
      </c>
      <c r="L722" t="s">
        <v>8</v>
      </c>
      <c r="M722" t="s">
        <v>17</v>
      </c>
    </row>
    <row r="723" spans="2:13" x14ac:dyDescent="0.35">
      <c r="B723">
        <v>719</v>
      </c>
      <c r="C723">
        <v>2909</v>
      </c>
      <c r="D723" s="1">
        <v>41626</v>
      </c>
      <c r="E723" s="1">
        <v>41626</v>
      </c>
      <c r="F723" t="s">
        <v>31</v>
      </c>
      <c r="G723" t="s">
        <v>5</v>
      </c>
      <c r="H723">
        <v>2000</v>
      </c>
      <c r="I723">
        <v>800</v>
      </c>
      <c r="J723">
        <v>25</v>
      </c>
      <c r="K723">
        <f>Claim[[#This Row],[Monto de prima]]-SUM(Claim[[#This Row],[Costo el reclamo]:[Costo de delivery]])</f>
        <v>1175</v>
      </c>
      <c r="L723" t="s">
        <v>11</v>
      </c>
      <c r="M723" t="s">
        <v>18</v>
      </c>
    </row>
    <row r="724" spans="2:13" x14ac:dyDescent="0.35">
      <c r="B724">
        <v>720</v>
      </c>
      <c r="C724">
        <v>1817</v>
      </c>
      <c r="D724" s="1">
        <v>41672</v>
      </c>
      <c r="E724" s="1">
        <v>42083</v>
      </c>
      <c r="F724" t="s">
        <v>4</v>
      </c>
      <c r="G724" t="s">
        <v>6</v>
      </c>
      <c r="H724">
        <v>1000</v>
      </c>
      <c r="I724">
        <v>550</v>
      </c>
      <c r="J724">
        <v>30</v>
      </c>
      <c r="K724">
        <f>Claim[[#This Row],[Monto de prima]]-SUM(Claim[[#This Row],[Costo el reclamo]:[Costo de delivery]])</f>
        <v>420</v>
      </c>
      <c r="L724" t="s">
        <v>7</v>
      </c>
      <c r="M724" t="s">
        <v>16</v>
      </c>
    </row>
    <row r="725" spans="2:13" x14ac:dyDescent="0.35">
      <c r="B725">
        <v>721</v>
      </c>
      <c r="C725">
        <v>2398</v>
      </c>
      <c r="D725" s="1">
        <v>41389</v>
      </c>
      <c r="E725" s="1">
        <v>42856</v>
      </c>
      <c r="F725" t="s">
        <v>1</v>
      </c>
      <c r="G725" t="s">
        <v>2</v>
      </c>
      <c r="H725">
        <v>250</v>
      </c>
      <c r="I725">
        <v>450</v>
      </c>
      <c r="J725">
        <v>30</v>
      </c>
      <c r="K725">
        <f>Claim[[#This Row],[Monto de prima]]-SUM(Claim[[#This Row],[Costo el reclamo]:[Costo de delivery]])</f>
        <v>-230</v>
      </c>
      <c r="L725" t="s">
        <v>8</v>
      </c>
      <c r="M725" t="s">
        <v>17</v>
      </c>
    </row>
    <row r="726" spans="2:13" x14ac:dyDescent="0.35">
      <c r="B726">
        <v>722</v>
      </c>
      <c r="C726">
        <v>4501</v>
      </c>
      <c r="D726" s="1">
        <v>41466</v>
      </c>
      <c r="E726" s="1">
        <v>42671</v>
      </c>
      <c r="F726" t="s">
        <v>30</v>
      </c>
      <c r="G726" t="s">
        <v>6</v>
      </c>
      <c r="H726">
        <v>600</v>
      </c>
      <c r="I726">
        <v>200</v>
      </c>
      <c r="J726">
        <v>15</v>
      </c>
      <c r="K726">
        <f>Claim[[#This Row],[Monto de prima]]-SUM(Claim[[#This Row],[Costo el reclamo]:[Costo de delivery]])</f>
        <v>385</v>
      </c>
      <c r="L726" t="s">
        <v>11</v>
      </c>
      <c r="M726" t="s">
        <v>18</v>
      </c>
    </row>
    <row r="727" spans="2:13" x14ac:dyDescent="0.35">
      <c r="B727">
        <v>723</v>
      </c>
      <c r="C727">
        <v>1074</v>
      </c>
      <c r="D727" s="1">
        <v>41411</v>
      </c>
      <c r="E727" s="1">
        <v>41935</v>
      </c>
      <c r="F727" t="s">
        <v>31</v>
      </c>
      <c r="G727" t="s">
        <v>3</v>
      </c>
      <c r="H727">
        <v>2000</v>
      </c>
      <c r="I727">
        <v>800</v>
      </c>
      <c r="J727">
        <v>30</v>
      </c>
      <c r="K727">
        <f>Claim[[#This Row],[Monto de prima]]-SUM(Claim[[#This Row],[Costo el reclamo]:[Costo de delivery]])</f>
        <v>1170</v>
      </c>
      <c r="L727" t="s">
        <v>12</v>
      </c>
      <c r="M727" t="s">
        <v>19</v>
      </c>
    </row>
    <row r="728" spans="2:13" x14ac:dyDescent="0.35">
      <c r="B728">
        <v>724</v>
      </c>
      <c r="C728">
        <v>3852</v>
      </c>
      <c r="D728" s="1">
        <v>40180</v>
      </c>
      <c r="E728" s="1">
        <v>42263</v>
      </c>
      <c r="F728" t="s">
        <v>30</v>
      </c>
      <c r="G728" t="s">
        <v>2</v>
      </c>
      <c r="H728">
        <v>600</v>
      </c>
      <c r="I728">
        <v>200</v>
      </c>
      <c r="J728">
        <v>35</v>
      </c>
      <c r="K728">
        <f>Claim[[#This Row],[Monto de prima]]-SUM(Claim[[#This Row],[Costo el reclamo]:[Costo de delivery]])</f>
        <v>365</v>
      </c>
      <c r="L728" t="s">
        <v>13</v>
      </c>
      <c r="M728" t="s">
        <v>14</v>
      </c>
    </row>
    <row r="729" spans="2:13" x14ac:dyDescent="0.35">
      <c r="B729">
        <v>725</v>
      </c>
      <c r="C729">
        <v>2561</v>
      </c>
      <c r="D729" s="1">
        <v>42997</v>
      </c>
      <c r="E729" s="1">
        <v>42997</v>
      </c>
      <c r="F729" t="s">
        <v>4</v>
      </c>
      <c r="G729" t="s">
        <v>3</v>
      </c>
      <c r="H729">
        <v>1000</v>
      </c>
      <c r="I729">
        <v>550</v>
      </c>
      <c r="J729">
        <v>80</v>
      </c>
      <c r="K729">
        <f>Claim[[#This Row],[Monto de prima]]-SUM(Claim[[#This Row],[Costo el reclamo]:[Costo de delivery]])</f>
        <v>370</v>
      </c>
      <c r="L729" t="s">
        <v>7</v>
      </c>
      <c r="M729" t="s">
        <v>16</v>
      </c>
    </row>
    <row r="730" spans="2:13" x14ac:dyDescent="0.35">
      <c r="B730">
        <v>726</v>
      </c>
      <c r="C730">
        <v>2506</v>
      </c>
      <c r="D730" s="1">
        <v>41924</v>
      </c>
      <c r="E730" s="1">
        <v>43499</v>
      </c>
      <c r="F730" t="s">
        <v>1</v>
      </c>
      <c r="G730" t="s">
        <v>2</v>
      </c>
      <c r="H730">
        <v>250</v>
      </c>
      <c r="I730">
        <v>450</v>
      </c>
      <c r="J730">
        <v>30</v>
      </c>
      <c r="K730">
        <f>Claim[[#This Row],[Monto de prima]]-SUM(Claim[[#This Row],[Costo el reclamo]:[Costo de delivery]])</f>
        <v>-230</v>
      </c>
      <c r="L730" t="s">
        <v>7</v>
      </c>
      <c r="M730" t="s">
        <v>16</v>
      </c>
    </row>
    <row r="731" spans="2:13" x14ac:dyDescent="0.35">
      <c r="B731">
        <v>727</v>
      </c>
      <c r="C731">
        <v>1239</v>
      </c>
      <c r="D731" s="1">
        <v>42534</v>
      </c>
      <c r="E731" s="1">
        <v>42534</v>
      </c>
      <c r="F731" t="s">
        <v>1</v>
      </c>
      <c r="G731" t="s">
        <v>5</v>
      </c>
      <c r="H731">
        <v>250</v>
      </c>
      <c r="I731">
        <v>450</v>
      </c>
      <c r="J731">
        <v>100</v>
      </c>
      <c r="K731">
        <f>Claim[[#This Row],[Monto de prima]]-SUM(Claim[[#This Row],[Costo el reclamo]:[Costo de delivery]])</f>
        <v>-300</v>
      </c>
      <c r="L731" t="s">
        <v>12</v>
      </c>
      <c r="M731" t="s">
        <v>19</v>
      </c>
    </row>
    <row r="732" spans="2:13" x14ac:dyDescent="0.35">
      <c r="B732">
        <v>728</v>
      </c>
      <c r="C732">
        <v>1972</v>
      </c>
      <c r="D732" s="1">
        <v>42606</v>
      </c>
      <c r="E732" s="1">
        <v>42606</v>
      </c>
      <c r="F732" t="s">
        <v>4</v>
      </c>
      <c r="G732" t="s">
        <v>2</v>
      </c>
      <c r="H732">
        <v>1000</v>
      </c>
      <c r="I732">
        <v>550</v>
      </c>
      <c r="J732">
        <v>50</v>
      </c>
      <c r="K732">
        <f>Claim[[#This Row],[Monto de prima]]-SUM(Claim[[#This Row],[Costo el reclamo]:[Costo de delivery]])</f>
        <v>400</v>
      </c>
      <c r="L732" t="s">
        <v>11</v>
      </c>
      <c r="M732" t="s">
        <v>18</v>
      </c>
    </row>
    <row r="733" spans="2:13" x14ac:dyDescent="0.35">
      <c r="B733">
        <v>729</v>
      </c>
      <c r="C733">
        <v>2670</v>
      </c>
      <c r="D733" s="1">
        <v>41958</v>
      </c>
      <c r="E733" s="1">
        <v>43519</v>
      </c>
      <c r="F733" t="s">
        <v>1</v>
      </c>
      <c r="G733" t="s">
        <v>2</v>
      </c>
      <c r="H733">
        <v>250</v>
      </c>
      <c r="I733">
        <v>450</v>
      </c>
      <c r="J733">
        <v>30</v>
      </c>
      <c r="K733">
        <f>Claim[[#This Row],[Monto de prima]]-SUM(Claim[[#This Row],[Costo el reclamo]:[Costo de delivery]])</f>
        <v>-230</v>
      </c>
      <c r="L733" t="s">
        <v>13</v>
      </c>
      <c r="M733" t="s">
        <v>14</v>
      </c>
    </row>
    <row r="734" spans="2:13" x14ac:dyDescent="0.35">
      <c r="B734">
        <v>730</v>
      </c>
      <c r="C734">
        <v>2938</v>
      </c>
      <c r="D734" s="1">
        <v>42740</v>
      </c>
      <c r="E734" s="1">
        <v>42740</v>
      </c>
      <c r="F734" t="s">
        <v>1</v>
      </c>
      <c r="G734" t="s">
        <v>3</v>
      </c>
      <c r="H734">
        <v>250</v>
      </c>
      <c r="I734">
        <v>450</v>
      </c>
      <c r="J734">
        <v>80</v>
      </c>
      <c r="K734">
        <f>Claim[[#This Row],[Monto de prima]]-SUM(Claim[[#This Row],[Costo el reclamo]:[Costo de delivery]])</f>
        <v>-280</v>
      </c>
      <c r="L734" t="s">
        <v>7</v>
      </c>
      <c r="M734" t="s">
        <v>16</v>
      </c>
    </row>
    <row r="735" spans="2:13" x14ac:dyDescent="0.35">
      <c r="B735">
        <v>731</v>
      </c>
      <c r="C735">
        <v>2290</v>
      </c>
      <c r="D735" s="1">
        <v>42178</v>
      </c>
      <c r="E735" s="1">
        <v>42178</v>
      </c>
      <c r="F735" t="s">
        <v>4</v>
      </c>
      <c r="G735" t="s">
        <v>3</v>
      </c>
      <c r="H735">
        <v>1000</v>
      </c>
      <c r="I735">
        <v>550</v>
      </c>
      <c r="J735">
        <v>80</v>
      </c>
      <c r="K735">
        <f>Claim[[#This Row],[Monto de prima]]-SUM(Claim[[#This Row],[Costo el reclamo]:[Costo de delivery]])</f>
        <v>370</v>
      </c>
      <c r="L735" t="s">
        <v>8</v>
      </c>
      <c r="M735" t="s">
        <v>17</v>
      </c>
    </row>
    <row r="736" spans="2:13" x14ac:dyDescent="0.35">
      <c r="B736">
        <v>732</v>
      </c>
      <c r="C736">
        <v>1726</v>
      </c>
      <c r="D736" s="1">
        <v>41186</v>
      </c>
      <c r="E736" s="1">
        <v>41359</v>
      </c>
      <c r="F736" t="s">
        <v>4</v>
      </c>
      <c r="G736" t="s">
        <v>6</v>
      </c>
      <c r="H736">
        <v>1000</v>
      </c>
      <c r="I736">
        <v>550</v>
      </c>
      <c r="J736">
        <v>30</v>
      </c>
      <c r="K736">
        <f>Claim[[#This Row],[Monto de prima]]-SUM(Claim[[#This Row],[Costo el reclamo]:[Costo de delivery]])</f>
        <v>420</v>
      </c>
      <c r="L736" t="s">
        <v>12</v>
      </c>
      <c r="M736" t="s">
        <v>19</v>
      </c>
    </row>
    <row r="737" spans="2:13" x14ac:dyDescent="0.35">
      <c r="B737">
        <v>733</v>
      </c>
      <c r="C737">
        <v>4077</v>
      </c>
      <c r="D737" s="1">
        <v>42387</v>
      </c>
      <c r="E737" s="1">
        <v>42387</v>
      </c>
      <c r="F737" t="s">
        <v>31</v>
      </c>
      <c r="G737" t="s">
        <v>5</v>
      </c>
      <c r="H737">
        <v>2000</v>
      </c>
      <c r="I737">
        <v>800</v>
      </c>
      <c r="J737">
        <v>25</v>
      </c>
      <c r="K737">
        <f>Claim[[#This Row],[Monto de prima]]-SUM(Claim[[#This Row],[Costo el reclamo]:[Costo de delivery]])</f>
        <v>1175</v>
      </c>
      <c r="L737" t="s">
        <v>7</v>
      </c>
      <c r="M737" t="s">
        <v>16</v>
      </c>
    </row>
    <row r="738" spans="2:13" x14ac:dyDescent="0.35">
      <c r="B738">
        <v>734</v>
      </c>
      <c r="C738">
        <v>3354</v>
      </c>
      <c r="D738" s="1">
        <v>43186</v>
      </c>
      <c r="E738" s="1">
        <v>43658</v>
      </c>
      <c r="F738" t="s">
        <v>30</v>
      </c>
      <c r="G738" t="s">
        <v>5</v>
      </c>
      <c r="H738">
        <v>600</v>
      </c>
      <c r="I738">
        <v>200</v>
      </c>
      <c r="J738">
        <v>50</v>
      </c>
      <c r="K738">
        <f>Claim[[#This Row],[Monto de prima]]-SUM(Claim[[#This Row],[Costo el reclamo]:[Costo de delivery]])</f>
        <v>350</v>
      </c>
      <c r="L738" t="s">
        <v>11</v>
      </c>
      <c r="M738" t="s">
        <v>18</v>
      </c>
    </row>
    <row r="739" spans="2:13" x14ac:dyDescent="0.35">
      <c r="B739">
        <v>735</v>
      </c>
      <c r="C739">
        <v>2820</v>
      </c>
      <c r="D739" s="1">
        <v>42589</v>
      </c>
      <c r="E739" s="1">
        <v>43315</v>
      </c>
      <c r="F739" t="s">
        <v>31</v>
      </c>
      <c r="G739" t="s">
        <v>2</v>
      </c>
      <c r="H739">
        <v>2000</v>
      </c>
      <c r="I739">
        <v>800</v>
      </c>
      <c r="J739">
        <v>40</v>
      </c>
      <c r="K739">
        <f>Claim[[#This Row],[Monto de prima]]-SUM(Claim[[#This Row],[Costo el reclamo]:[Costo de delivery]])</f>
        <v>1160</v>
      </c>
      <c r="L739" t="s">
        <v>8</v>
      </c>
      <c r="M739" t="s">
        <v>17</v>
      </c>
    </row>
    <row r="740" spans="2:13" x14ac:dyDescent="0.35">
      <c r="B740">
        <v>736</v>
      </c>
      <c r="C740">
        <v>2376</v>
      </c>
      <c r="D740" s="1">
        <v>41735</v>
      </c>
      <c r="E740" s="1">
        <v>43278</v>
      </c>
      <c r="F740" t="s">
        <v>4</v>
      </c>
      <c r="G740" t="s">
        <v>2</v>
      </c>
      <c r="H740">
        <v>1000</v>
      </c>
      <c r="I740">
        <v>550</v>
      </c>
      <c r="J740">
        <v>50</v>
      </c>
      <c r="K740">
        <f>Claim[[#This Row],[Monto de prima]]-SUM(Claim[[#This Row],[Costo el reclamo]:[Costo de delivery]])</f>
        <v>400</v>
      </c>
      <c r="L740" t="s">
        <v>12</v>
      </c>
      <c r="M740" t="s">
        <v>19</v>
      </c>
    </row>
    <row r="741" spans="2:13" x14ac:dyDescent="0.35">
      <c r="B741">
        <v>737</v>
      </c>
      <c r="C741">
        <v>3981</v>
      </c>
      <c r="D741" s="1">
        <v>40405</v>
      </c>
      <c r="E741" s="1">
        <v>42505</v>
      </c>
      <c r="F741" t="s">
        <v>30</v>
      </c>
      <c r="G741" t="s">
        <v>6</v>
      </c>
      <c r="H741">
        <v>600</v>
      </c>
      <c r="I741">
        <v>200</v>
      </c>
      <c r="J741">
        <v>15</v>
      </c>
      <c r="K741">
        <f>Claim[[#This Row],[Monto de prima]]-SUM(Claim[[#This Row],[Costo el reclamo]:[Costo de delivery]])</f>
        <v>385</v>
      </c>
      <c r="L741" t="s">
        <v>7</v>
      </c>
      <c r="M741" t="s">
        <v>16</v>
      </c>
    </row>
    <row r="742" spans="2:13" x14ac:dyDescent="0.35">
      <c r="B742">
        <v>738</v>
      </c>
      <c r="C742">
        <v>1413</v>
      </c>
      <c r="D742" s="1">
        <v>41332</v>
      </c>
      <c r="E742" s="1">
        <v>41603</v>
      </c>
      <c r="F742" t="s">
        <v>4</v>
      </c>
      <c r="G742" t="s">
        <v>2</v>
      </c>
      <c r="H742">
        <v>1000</v>
      </c>
      <c r="I742">
        <v>550</v>
      </c>
      <c r="J742">
        <v>50</v>
      </c>
      <c r="K742">
        <f>Claim[[#This Row],[Monto de prima]]-SUM(Claim[[#This Row],[Costo el reclamo]:[Costo de delivery]])</f>
        <v>400</v>
      </c>
      <c r="L742" t="s">
        <v>8</v>
      </c>
      <c r="M742" t="s">
        <v>17</v>
      </c>
    </row>
    <row r="743" spans="2:13" x14ac:dyDescent="0.35">
      <c r="B743">
        <v>739</v>
      </c>
      <c r="C743">
        <v>1635</v>
      </c>
      <c r="D743" s="1">
        <v>40721</v>
      </c>
      <c r="E743" s="1">
        <v>42355</v>
      </c>
      <c r="F743" t="s">
        <v>30</v>
      </c>
      <c r="G743" t="s">
        <v>5</v>
      </c>
      <c r="H743">
        <v>600</v>
      </c>
      <c r="I743">
        <v>200</v>
      </c>
      <c r="J743">
        <v>50</v>
      </c>
      <c r="K743">
        <f>Claim[[#This Row],[Monto de prima]]-SUM(Claim[[#This Row],[Costo el reclamo]:[Costo de delivery]])</f>
        <v>350</v>
      </c>
      <c r="L743" t="s">
        <v>8</v>
      </c>
      <c r="M743" t="s">
        <v>17</v>
      </c>
    </row>
    <row r="744" spans="2:13" x14ac:dyDescent="0.35">
      <c r="B744">
        <v>740</v>
      </c>
      <c r="C744">
        <v>2578</v>
      </c>
      <c r="D744" s="1">
        <v>40809</v>
      </c>
      <c r="E744" s="1">
        <v>42776</v>
      </c>
      <c r="F744" t="s">
        <v>31</v>
      </c>
      <c r="G744" t="s">
        <v>6</v>
      </c>
      <c r="H744">
        <v>2000</v>
      </c>
      <c r="I744">
        <v>800</v>
      </c>
      <c r="J744">
        <v>20</v>
      </c>
      <c r="K744">
        <f>Claim[[#This Row],[Monto de prima]]-SUM(Claim[[#This Row],[Costo el reclamo]:[Costo de delivery]])</f>
        <v>1180</v>
      </c>
      <c r="L744" t="s">
        <v>9</v>
      </c>
      <c r="M744" t="s">
        <v>15</v>
      </c>
    </row>
    <row r="745" spans="2:13" x14ac:dyDescent="0.35">
      <c r="B745">
        <v>741</v>
      </c>
      <c r="C745">
        <v>1783</v>
      </c>
      <c r="D745" s="1">
        <v>40686</v>
      </c>
      <c r="E745" s="1">
        <v>43676</v>
      </c>
      <c r="F745" t="s">
        <v>1</v>
      </c>
      <c r="G745" t="s">
        <v>3</v>
      </c>
      <c r="H745">
        <v>250</v>
      </c>
      <c r="I745">
        <v>450</v>
      </c>
      <c r="J745">
        <v>80</v>
      </c>
      <c r="K745">
        <f>Claim[[#This Row],[Monto de prima]]-SUM(Claim[[#This Row],[Costo el reclamo]:[Costo de delivery]])</f>
        <v>-280</v>
      </c>
      <c r="L745" t="s">
        <v>13</v>
      </c>
      <c r="M745" t="s">
        <v>14</v>
      </c>
    </row>
    <row r="746" spans="2:13" x14ac:dyDescent="0.35">
      <c r="B746">
        <v>742</v>
      </c>
      <c r="C746">
        <v>2447</v>
      </c>
      <c r="D746" s="1">
        <v>42027</v>
      </c>
      <c r="E746" s="1">
        <v>43509</v>
      </c>
      <c r="F746" t="s">
        <v>30</v>
      </c>
      <c r="G746" t="s">
        <v>6</v>
      </c>
      <c r="H746">
        <v>600</v>
      </c>
      <c r="I746">
        <v>200</v>
      </c>
      <c r="J746">
        <v>15</v>
      </c>
      <c r="K746">
        <f>Claim[[#This Row],[Monto de prima]]-SUM(Claim[[#This Row],[Costo el reclamo]:[Costo de delivery]])</f>
        <v>385</v>
      </c>
      <c r="L746" t="s">
        <v>8</v>
      </c>
      <c r="M746" t="s">
        <v>17</v>
      </c>
    </row>
    <row r="747" spans="2:13" x14ac:dyDescent="0.35">
      <c r="B747">
        <v>743</v>
      </c>
      <c r="C747">
        <v>3147</v>
      </c>
      <c r="D747" s="1">
        <v>43025</v>
      </c>
      <c r="E747" s="1">
        <v>43025</v>
      </c>
      <c r="F747" t="s">
        <v>1</v>
      </c>
      <c r="G747" t="s">
        <v>5</v>
      </c>
      <c r="H747">
        <v>250</v>
      </c>
      <c r="I747">
        <v>450</v>
      </c>
      <c r="J747">
        <v>100</v>
      </c>
      <c r="K747">
        <f>Claim[[#This Row],[Monto de prima]]-SUM(Claim[[#This Row],[Costo el reclamo]:[Costo de delivery]])</f>
        <v>-300</v>
      </c>
      <c r="L747" t="s">
        <v>13</v>
      </c>
      <c r="M747" t="s">
        <v>14</v>
      </c>
    </row>
    <row r="748" spans="2:13" x14ac:dyDescent="0.35">
      <c r="B748">
        <v>744</v>
      </c>
      <c r="C748">
        <v>1348</v>
      </c>
      <c r="D748" s="1">
        <v>42571</v>
      </c>
      <c r="E748" s="1">
        <v>43355</v>
      </c>
      <c r="F748" t="s">
        <v>4</v>
      </c>
      <c r="G748" t="s">
        <v>2</v>
      </c>
      <c r="H748">
        <v>1000</v>
      </c>
      <c r="I748">
        <v>550</v>
      </c>
      <c r="J748">
        <v>50</v>
      </c>
      <c r="K748">
        <f>Claim[[#This Row],[Monto de prima]]-SUM(Claim[[#This Row],[Costo el reclamo]:[Costo de delivery]])</f>
        <v>400</v>
      </c>
      <c r="L748" t="s">
        <v>8</v>
      </c>
      <c r="M748" t="s">
        <v>17</v>
      </c>
    </row>
    <row r="749" spans="2:13" x14ac:dyDescent="0.35">
      <c r="B749">
        <v>745</v>
      </c>
      <c r="C749">
        <v>1740</v>
      </c>
      <c r="D749" s="1">
        <v>42350</v>
      </c>
      <c r="E749" s="1">
        <v>43816</v>
      </c>
      <c r="F749" t="s">
        <v>4</v>
      </c>
      <c r="G749" t="s">
        <v>5</v>
      </c>
      <c r="H749">
        <v>1000</v>
      </c>
      <c r="I749">
        <v>550</v>
      </c>
      <c r="J749">
        <v>50</v>
      </c>
      <c r="K749">
        <f>Claim[[#This Row],[Monto de prima]]-SUM(Claim[[#This Row],[Costo el reclamo]:[Costo de delivery]])</f>
        <v>400</v>
      </c>
      <c r="L749" t="s">
        <v>7</v>
      </c>
      <c r="M749" t="s">
        <v>16</v>
      </c>
    </row>
    <row r="750" spans="2:13" x14ac:dyDescent="0.35">
      <c r="B750">
        <v>746</v>
      </c>
      <c r="C750">
        <v>3671</v>
      </c>
      <c r="D750" s="1">
        <v>40869</v>
      </c>
      <c r="E750" s="1">
        <v>43587</v>
      </c>
      <c r="F750" t="s">
        <v>30</v>
      </c>
      <c r="G750" t="s">
        <v>5</v>
      </c>
      <c r="H750">
        <v>600</v>
      </c>
      <c r="I750">
        <v>200</v>
      </c>
      <c r="J750">
        <v>50</v>
      </c>
      <c r="K750">
        <f>Claim[[#This Row],[Monto de prima]]-SUM(Claim[[#This Row],[Costo el reclamo]:[Costo de delivery]])</f>
        <v>350</v>
      </c>
      <c r="L750" t="s">
        <v>12</v>
      </c>
      <c r="M750" t="s">
        <v>19</v>
      </c>
    </row>
    <row r="751" spans="2:13" x14ac:dyDescent="0.35">
      <c r="B751">
        <v>747</v>
      </c>
      <c r="C751">
        <v>4664</v>
      </c>
      <c r="D751" s="1">
        <v>42590</v>
      </c>
      <c r="E751" s="1">
        <v>42590</v>
      </c>
      <c r="F751" t="s">
        <v>31</v>
      </c>
      <c r="G751" t="s">
        <v>3</v>
      </c>
      <c r="H751">
        <v>2000</v>
      </c>
      <c r="I751">
        <v>800</v>
      </c>
      <c r="J751">
        <v>30</v>
      </c>
      <c r="K751">
        <f>Claim[[#This Row],[Monto de prima]]-SUM(Claim[[#This Row],[Costo el reclamo]:[Costo de delivery]])</f>
        <v>1170</v>
      </c>
      <c r="L751" t="s">
        <v>13</v>
      </c>
      <c r="M751" t="s">
        <v>14</v>
      </c>
    </row>
    <row r="752" spans="2:13" x14ac:dyDescent="0.35">
      <c r="B752">
        <v>748</v>
      </c>
      <c r="C752">
        <v>4916</v>
      </c>
      <c r="D752" s="1">
        <v>41079</v>
      </c>
      <c r="E752" s="1">
        <v>43723</v>
      </c>
      <c r="F752" t="s">
        <v>1</v>
      </c>
      <c r="G752" t="s">
        <v>3</v>
      </c>
      <c r="H752">
        <v>250</v>
      </c>
      <c r="I752">
        <v>450</v>
      </c>
      <c r="J752">
        <v>80</v>
      </c>
      <c r="K752">
        <f>Claim[[#This Row],[Monto de prima]]-SUM(Claim[[#This Row],[Costo el reclamo]:[Costo de delivery]])</f>
        <v>-280</v>
      </c>
      <c r="L752" t="s">
        <v>7</v>
      </c>
      <c r="M752" t="s">
        <v>16</v>
      </c>
    </row>
    <row r="753" spans="2:13" x14ac:dyDescent="0.35">
      <c r="B753">
        <v>749</v>
      </c>
      <c r="C753">
        <v>2725</v>
      </c>
      <c r="D753" s="1">
        <v>42519</v>
      </c>
      <c r="E753" s="1">
        <v>42519</v>
      </c>
      <c r="F753" t="s">
        <v>30</v>
      </c>
      <c r="G753" t="s">
        <v>6</v>
      </c>
      <c r="H753">
        <v>600</v>
      </c>
      <c r="I753">
        <v>200</v>
      </c>
      <c r="J753">
        <v>15</v>
      </c>
      <c r="K753">
        <f>Claim[[#This Row],[Monto de prima]]-SUM(Claim[[#This Row],[Costo el reclamo]:[Costo de delivery]])</f>
        <v>385</v>
      </c>
      <c r="L753" t="s">
        <v>8</v>
      </c>
      <c r="M753" t="s">
        <v>17</v>
      </c>
    </row>
    <row r="754" spans="2:13" x14ac:dyDescent="0.35">
      <c r="B754">
        <v>750</v>
      </c>
      <c r="C754">
        <v>3168</v>
      </c>
      <c r="D754" s="1">
        <v>40329</v>
      </c>
      <c r="E754" s="1">
        <v>43602</v>
      </c>
      <c r="F754" t="s">
        <v>31</v>
      </c>
      <c r="G754" t="s">
        <v>3</v>
      </c>
      <c r="H754">
        <v>2000</v>
      </c>
      <c r="I754">
        <v>800</v>
      </c>
      <c r="J754">
        <v>30</v>
      </c>
      <c r="K754">
        <f>Claim[[#This Row],[Monto de prima]]-SUM(Claim[[#This Row],[Costo el reclamo]:[Costo de delivery]])</f>
        <v>1170</v>
      </c>
      <c r="L754" t="s">
        <v>13</v>
      </c>
      <c r="M754" t="s">
        <v>14</v>
      </c>
    </row>
    <row r="755" spans="2:13" x14ac:dyDescent="0.35">
      <c r="B755">
        <v>751</v>
      </c>
      <c r="C755">
        <v>1228</v>
      </c>
      <c r="D755" s="1">
        <v>40786</v>
      </c>
      <c r="E755" s="1">
        <v>43543</v>
      </c>
      <c r="F755" t="s">
        <v>1</v>
      </c>
      <c r="G755" t="s">
        <v>6</v>
      </c>
      <c r="H755">
        <v>250</v>
      </c>
      <c r="I755">
        <v>450</v>
      </c>
      <c r="J755">
        <v>50</v>
      </c>
      <c r="K755">
        <f>Claim[[#This Row],[Monto de prima]]-SUM(Claim[[#This Row],[Costo el reclamo]:[Costo de delivery]])</f>
        <v>-250</v>
      </c>
      <c r="L755" t="s">
        <v>8</v>
      </c>
      <c r="M755" t="s">
        <v>17</v>
      </c>
    </row>
    <row r="756" spans="2:13" x14ac:dyDescent="0.35">
      <c r="B756">
        <v>752</v>
      </c>
      <c r="C756">
        <v>2112</v>
      </c>
      <c r="D756" s="1">
        <v>42959</v>
      </c>
      <c r="E756" s="1">
        <v>42959</v>
      </c>
      <c r="F756" t="s">
        <v>4</v>
      </c>
      <c r="G756" t="s">
        <v>3</v>
      </c>
      <c r="H756">
        <v>1000</v>
      </c>
      <c r="I756">
        <v>550</v>
      </c>
      <c r="J756">
        <v>80</v>
      </c>
      <c r="K756">
        <f>Claim[[#This Row],[Monto de prima]]-SUM(Claim[[#This Row],[Costo el reclamo]:[Costo de delivery]])</f>
        <v>370</v>
      </c>
      <c r="L756" t="s">
        <v>7</v>
      </c>
      <c r="M756" t="s">
        <v>16</v>
      </c>
    </row>
    <row r="757" spans="2:13" x14ac:dyDescent="0.35">
      <c r="B757">
        <v>753</v>
      </c>
      <c r="C757">
        <v>1785</v>
      </c>
      <c r="D757" s="1">
        <v>42471</v>
      </c>
      <c r="E757" s="1">
        <v>43611</v>
      </c>
      <c r="F757" t="s">
        <v>31</v>
      </c>
      <c r="G757" t="s">
        <v>2</v>
      </c>
      <c r="H757">
        <v>2000</v>
      </c>
      <c r="I757">
        <v>800</v>
      </c>
      <c r="J757">
        <v>40</v>
      </c>
      <c r="K757">
        <f>Claim[[#This Row],[Monto de prima]]-SUM(Claim[[#This Row],[Costo el reclamo]:[Costo de delivery]])</f>
        <v>1160</v>
      </c>
      <c r="L757" t="s">
        <v>13</v>
      </c>
      <c r="M757" t="s">
        <v>14</v>
      </c>
    </row>
    <row r="758" spans="2:13" x14ac:dyDescent="0.35">
      <c r="B758">
        <v>754</v>
      </c>
      <c r="C758">
        <v>2706</v>
      </c>
      <c r="D758" s="1">
        <v>41642</v>
      </c>
      <c r="E758" s="1">
        <v>41642</v>
      </c>
      <c r="F758" t="s">
        <v>30</v>
      </c>
      <c r="G758" t="s">
        <v>3</v>
      </c>
      <c r="H758">
        <v>600</v>
      </c>
      <c r="I758">
        <v>200</v>
      </c>
      <c r="J758">
        <v>20</v>
      </c>
      <c r="K758">
        <f>Claim[[#This Row],[Monto de prima]]-SUM(Claim[[#This Row],[Costo el reclamo]:[Costo de delivery]])</f>
        <v>380</v>
      </c>
      <c r="L758" t="s">
        <v>10</v>
      </c>
      <c r="M758" t="s">
        <v>16</v>
      </c>
    </row>
    <row r="759" spans="2:13" x14ac:dyDescent="0.35">
      <c r="B759">
        <v>755</v>
      </c>
      <c r="C759">
        <v>3983</v>
      </c>
      <c r="D759" s="1">
        <v>42604</v>
      </c>
      <c r="E759" s="1">
        <v>42604</v>
      </c>
      <c r="F759" t="s">
        <v>31</v>
      </c>
      <c r="G759" t="s">
        <v>6</v>
      </c>
      <c r="H759">
        <v>2000</v>
      </c>
      <c r="I759">
        <v>800</v>
      </c>
      <c r="J759">
        <v>20</v>
      </c>
      <c r="K759">
        <f>Claim[[#This Row],[Monto de prima]]-SUM(Claim[[#This Row],[Costo el reclamo]:[Costo de delivery]])</f>
        <v>1180</v>
      </c>
      <c r="L759" t="s">
        <v>13</v>
      </c>
      <c r="M759" t="s">
        <v>14</v>
      </c>
    </row>
    <row r="760" spans="2:13" x14ac:dyDescent="0.35">
      <c r="B760">
        <v>756</v>
      </c>
      <c r="C760">
        <v>1513</v>
      </c>
      <c r="D760" s="1">
        <v>40965</v>
      </c>
      <c r="E760" s="1">
        <v>42493</v>
      </c>
      <c r="F760" t="s">
        <v>4</v>
      </c>
      <c r="G760" t="s">
        <v>5</v>
      </c>
      <c r="H760">
        <v>1000</v>
      </c>
      <c r="I760">
        <v>550</v>
      </c>
      <c r="J760">
        <v>50</v>
      </c>
      <c r="K760">
        <f>Claim[[#This Row],[Monto de prima]]-SUM(Claim[[#This Row],[Costo el reclamo]:[Costo de delivery]])</f>
        <v>400</v>
      </c>
      <c r="L760" t="s">
        <v>11</v>
      </c>
      <c r="M760" t="s">
        <v>18</v>
      </c>
    </row>
    <row r="761" spans="2:13" x14ac:dyDescent="0.35">
      <c r="B761">
        <v>757</v>
      </c>
      <c r="C761">
        <v>2695</v>
      </c>
      <c r="D761" s="1">
        <v>41830</v>
      </c>
      <c r="E761" s="1">
        <v>42544</v>
      </c>
      <c r="F761" t="s">
        <v>30</v>
      </c>
      <c r="G761" t="s">
        <v>5</v>
      </c>
      <c r="H761">
        <v>600</v>
      </c>
      <c r="I761">
        <v>200</v>
      </c>
      <c r="J761">
        <v>50</v>
      </c>
      <c r="K761">
        <f>Claim[[#This Row],[Monto de prima]]-SUM(Claim[[#This Row],[Costo el reclamo]:[Costo de delivery]])</f>
        <v>350</v>
      </c>
      <c r="L761" t="s">
        <v>10</v>
      </c>
      <c r="M761" t="s">
        <v>16</v>
      </c>
    </row>
    <row r="762" spans="2:13" x14ac:dyDescent="0.35">
      <c r="B762">
        <v>758</v>
      </c>
      <c r="C762">
        <v>2018</v>
      </c>
      <c r="D762" s="1">
        <v>42650</v>
      </c>
      <c r="E762" s="1">
        <v>43754</v>
      </c>
      <c r="F762" t="s">
        <v>1</v>
      </c>
      <c r="G762" t="s">
        <v>3</v>
      </c>
      <c r="H762">
        <v>250</v>
      </c>
      <c r="I762">
        <v>450</v>
      </c>
      <c r="J762">
        <v>80</v>
      </c>
      <c r="K762">
        <f>Claim[[#This Row],[Monto de prima]]-SUM(Claim[[#This Row],[Costo el reclamo]:[Costo de delivery]])</f>
        <v>-280</v>
      </c>
      <c r="L762" t="s">
        <v>7</v>
      </c>
      <c r="M762" t="s">
        <v>16</v>
      </c>
    </row>
    <row r="763" spans="2:13" x14ac:dyDescent="0.35">
      <c r="B763">
        <v>759</v>
      </c>
      <c r="C763">
        <v>2566</v>
      </c>
      <c r="D763" s="1">
        <v>43143</v>
      </c>
      <c r="E763" s="1">
        <v>43211</v>
      </c>
      <c r="F763" t="s">
        <v>4</v>
      </c>
      <c r="G763" t="s">
        <v>3</v>
      </c>
      <c r="H763">
        <v>1000</v>
      </c>
      <c r="I763">
        <v>550</v>
      </c>
      <c r="J763">
        <v>80</v>
      </c>
      <c r="K763">
        <f>Claim[[#This Row],[Monto de prima]]-SUM(Claim[[#This Row],[Costo el reclamo]:[Costo de delivery]])</f>
        <v>370</v>
      </c>
      <c r="L763" t="s">
        <v>11</v>
      </c>
      <c r="M763" t="s">
        <v>18</v>
      </c>
    </row>
    <row r="764" spans="2:13" x14ac:dyDescent="0.35">
      <c r="B764">
        <v>760</v>
      </c>
      <c r="C764">
        <v>3133</v>
      </c>
      <c r="D764" s="1">
        <v>41846</v>
      </c>
      <c r="E764" s="1">
        <v>41846</v>
      </c>
      <c r="F764" t="s">
        <v>31</v>
      </c>
      <c r="G764" t="s">
        <v>3</v>
      </c>
      <c r="H764">
        <v>2000</v>
      </c>
      <c r="I764">
        <v>800</v>
      </c>
      <c r="J764">
        <v>30</v>
      </c>
      <c r="K764">
        <f>Claim[[#This Row],[Monto de prima]]-SUM(Claim[[#This Row],[Costo el reclamo]:[Costo de delivery]])</f>
        <v>1170</v>
      </c>
      <c r="L764" t="s">
        <v>7</v>
      </c>
      <c r="M764" t="s">
        <v>16</v>
      </c>
    </row>
    <row r="765" spans="2:13" x14ac:dyDescent="0.35">
      <c r="B765">
        <v>761</v>
      </c>
      <c r="C765">
        <v>2464</v>
      </c>
      <c r="D765" s="1">
        <v>41848</v>
      </c>
      <c r="E765" s="1">
        <v>42123</v>
      </c>
      <c r="F765" t="s">
        <v>4</v>
      </c>
      <c r="G765" t="s">
        <v>6</v>
      </c>
      <c r="H765">
        <v>1000</v>
      </c>
      <c r="I765">
        <v>550</v>
      </c>
      <c r="J765">
        <v>30</v>
      </c>
      <c r="K765">
        <f>Claim[[#This Row],[Monto de prima]]-SUM(Claim[[#This Row],[Costo el reclamo]:[Costo de delivery]])</f>
        <v>420</v>
      </c>
      <c r="L765" t="s">
        <v>13</v>
      </c>
      <c r="M765" t="s">
        <v>14</v>
      </c>
    </row>
    <row r="766" spans="2:13" x14ac:dyDescent="0.35">
      <c r="B766">
        <v>762</v>
      </c>
      <c r="C766">
        <v>2882</v>
      </c>
      <c r="D766" s="1">
        <v>40403</v>
      </c>
      <c r="E766" s="1">
        <v>43234</v>
      </c>
      <c r="F766" t="s">
        <v>4</v>
      </c>
      <c r="G766" t="s">
        <v>3</v>
      </c>
      <c r="H766">
        <v>1000</v>
      </c>
      <c r="I766">
        <v>550</v>
      </c>
      <c r="J766">
        <v>80</v>
      </c>
      <c r="K766">
        <f>Claim[[#This Row],[Monto de prima]]-SUM(Claim[[#This Row],[Costo el reclamo]:[Costo de delivery]])</f>
        <v>370</v>
      </c>
      <c r="L766" t="s">
        <v>13</v>
      </c>
      <c r="M766" t="s">
        <v>14</v>
      </c>
    </row>
    <row r="767" spans="2:13" x14ac:dyDescent="0.35">
      <c r="B767">
        <v>763</v>
      </c>
      <c r="C767">
        <v>4729</v>
      </c>
      <c r="D767" s="1">
        <v>41626</v>
      </c>
      <c r="E767" s="1">
        <v>41696</v>
      </c>
      <c r="F767" t="s">
        <v>30</v>
      </c>
      <c r="G767" t="s">
        <v>6</v>
      </c>
      <c r="H767">
        <v>600</v>
      </c>
      <c r="I767">
        <v>200</v>
      </c>
      <c r="J767">
        <v>15</v>
      </c>
      <c r="K767">
        <f>Claim[[#This Row],[Monto de prima]]-SUM(Claim[[#This Row],[Costo el reclamo]:[Costo de delivery]])</f>
        <v>385</v>
      </c>
      <c r="L767" t="s">
        <v>7</v>
      </c>
      <c r="M767" t="s">
        <v>16</v>
      </c>
    </row>
    <row r="768" spans="2:13" x14ac:dyDescent="0.35">
      <c r="B768">
        <v>764</v>
      </c>
      <c r="C768">
        <v>4337</v>
      </c>
      <c r="D768" s="1">
        <v>40993</v>
      </c>
      <c r="E768" s="1">
        <v>43274</v>
      </c>
      <c r="F768" t="s">
        <v>1</v>
      </c>
      <c r="G768" t="s">
        <v>2</v>
      </c>
      <c r="H768">
        <v>250</v>
      </c>
      <c r="I768">
        <v>450</v>
      </c>
      <c r="J768">
        <v>30</v>
      </c>
      <c r="K768">
        <f>Claim[[#This Row],[Monto de prima]]-SUM(Claim[[#This Row],[Costo el reclamo]:[Costo de delivery]])</f>
        <v>-230</v>
      </c>
      <c r="L768" t="s">
        <v>13</v>
      </c>
      <c r="M768" t="s">
        <v>14</v>
      </c>
    </row>
    <row r="769" spans="2:13" x14ac:dyDescent="0.35">
      <c r="B769">
        <v>765</v>
      </c>
      <c r="C769">
        <v>4194</v>
      </c>
      <c r="D769" s="1">
        <v>40239</v>
      </c>
      <c r="E769" s="1">
        <v>42929</v>
      </c>
      <c r="F769" t="s">
        <v>1</v>
      </c>
      <c r="G769" t="s">
        <v>3</v>
      </c>
      <c r="H769">
        <v>250</v>
      </c>
      <c r="I769">
        <v>450</v>
      </c>
      <c r="J769">
        <v>80</v>
      </c>
      <c r="K769">
        <f>Claim[[#This Row],[Monto de prima]]-SUM(Claim[[#This Row],[Costo el reclamo]:[Costo de delivery]])</f>
        <v>-280</v>
      </c>
      <c r="L769" t="s">
        <v>7</v>
      </c>
      <c r="M769" t="s">
        <v>16</v>
      </c>
    </row>
    <row r="770" spans="2:13" x14ac:dyDescent="0.35">
      <c r="B770">
        <v>766</v>
      </c>
      <c r="C770">
        <v>3471</v>
      </c>
      <c r="D770" s="1">
        <v>42108</v>
      </c>
      <c r="E770" s="1">
        <v>43226</v>
      </c>
      <c r="F770" t="s">
        <v>30</v>
      </c>
      <c r="G770" t="s">
        <v>5</v>
      </c>
      <c r="H770">
        <v>600</v>
      </c>
      <c r="I770">
        <v>200</v>
      </c>
      <c r="J770">
        <v>50</v>
      </c>
      <c r="K770">
        <f>Claim[[#This Row],[Monto de prima]]-SUM(Claim[[#This Row],[Costo el reclamo]:[Costo de delivery]])</f>
        <v>350</v>
      </c>
      <c r="L770" t="s">
        <v>8</v>
      </c>
      <c r="M770" t="s">
        <v>17</v>
      </c>
    </row>
    <row r="771" spans="2:13" x14ac:dyDescent="0.35">
      <c r="B771">
        <v>767</v>
      </c>
      <c r="C771">
        <v>2638</v>
      </c>
      <c r="D771" s="1">
        <v>41205</v>
      </c>
      <c r="E771" s="1">
        <v>43266</v>
      </c>
      <c r="F771" t="s">
        <v>4</v>
      </c>
      <c r="G771" t="s">
        <v>5</v>
      </c>
      <c r="H771">
        <v>1000</v>
      </c>
      <c r="I771">
        <v>550</v>
      </c>
      <c r="J771">
        <v>50</v>
      </c>
      <c r="K771">
        <f>Claim[[#This Row],[Monto de prima]]-SUM(Claim[[#This Row],[Costo el reclamo]:[Costo de delivery]])</f>
        <v>400</v>
      </c>
      <c r="L771" t="s">
        <v>13</v>
      </c>
      <c r="M771" t="s">
        <v>14</v>
      </c>
    </row>
    <row r="772" spans="2:13" x14ac:dyDescent="0.35">
      <c r="B772">
        <v>768</v>
      </c>
      <c r="C772">
        <v>1857</v>
      </c>
      <c r="D772" s="1">
        <v>41452</v>
      </c>
      <c r="E772" s="1">
        <v>42087</v>
      </c>
      <c r="F772" t="s">
        <v>1</v>
      </c>
      <c r="G772" t="s">
        <v>2</v>
      </c>
      <c r="H772">
        <v>250</v>
      </c>
      <c r="I772">
        <v>450</v>
      </c>
      <c r="J772">
        <v>30</v>
      </c>
      <c r="K772">
        <f>Claim[[#This Row],[Monto de prima]]-SUM(Claim[[#This Row],[Costo el reclamo]:[Costo de delivery]])</f>
        <v>-230</v>
      </c>
      <c r="L772" t="s">
        <v>12</v>
      </c>
      <c r="M772" t="s">
        <v>19</v>
      </c>
    </row>
    <row r="773" spans="2:13" x14ac:dyDescent="0.35">
      <c r="B773">
        <v>769</v>
      </c>
      <c r="C773">
        <v>4350</v>
      </c>
      <c r="D773" s="1">
        <v>42787</v>
      </c>
      <c r="E773" s="1">
        <v>42841</v>
      </c>
      <c r="F773" t="s">
        <v>4</v>
      </c>
      <c r="G773" t="s">
        <v>2</v>
      </c>
      <c r="H773">
        <v>1000</v>
      </c>
      <c r="I773">
        <v>550</v>
      </c>
      <c r="J773">
        <v>50</v>
      </c>
      <c r="K773">
        <f>Claim[[#This Row],[Monto de prima]]-SUM(Claim[[#This Row],[Costo el reclamo]:[Costo de delivery]])</f>
        <v>400</v>
      </c>
      <c r="L773" t="s">
        <v>8</v>
      </c>
      <c r="M773" t="s">
        <v>17</v>
      </c>
    </row>
    <row r="774" spans="2:13" x14ac:dyDescent="0.35">
      <c r="B774">
        <v>770</v>
      </c>
      <c r="C774">
        <v>2265</v>
      </c>
      <c r="D774" s="1">
        <v>41982</v>
      </c>
      <c r="E774" s="1">
        <v>42108</v>
      </c>
      <c r="F774" t="s">
        <v>31</v>
      </c>
      <c r="G774" t="s">
        <v>2</v>
      </c>
      <c r="H774">
        <v>2000</v>
      </c>
      <c r="I774">
        <v>800</v>
      </c>
      <c r="J774">
        <v>40</v>
      </c>
      <c r="K774">
        <f>Claim[[#This Row],[Monto de prima]]-SUM(Claim[[#This Row],[Costo el reclamo]:[Costo de delivery]])</f>
        <v>1160</v>
      </c>
      <c r="L774" t="s">
        <v>11</v>
      </c>
      <c r="M774" t="s">
        <v>18</v>
      </c>
    </row>
    <row r="775" spans="2:13" x14ac:dyDescent="0.35">
      <c r="B775">
        <v>771</v>
      </c>
      <c r="C775">
        <v>4305</v>
      </c>
      <c r="D775" s="1">
        <v>40590</v>
      </c>
      <c r="E775" s="1">
        <v>41682</v>
      </c>
      <c r="F775" t="s">
        <v>31</v>
      </c>
      <c r="G775" t="s">
        <v>5</v>
      </c>
      <c r="H775">
        <v>2000</v>
      </c>
      <c r="I775">
        <v>800</v>
      </c>
      <c r="J775">
        <v>25</v>
      </c>
      <c r="K775">
        <f>Claim[[#This Row],[Monto de prima]]-SUM(Claim[[#This Row],[Costo el reclamo]:[Costo de delivery]])</f>
        <v>1175</v>
      </c>
      <c r="L775" t="s">
        <v>12</v>
      </c>
      <c r="M775" t="s">
        <v>19</v>
      </c>
    </row>
    <row r="776" spans="2:13" x14ac:dyDescent="0.35">
      <c r="B776">
        <v>772</v>
      </c>
      <c r="C776">
        <v>2886</v>
      </c>
      <c r="D776" s="1">
        <v>42552</v>
      </c>
      <c r="E776" s="1">
        <v>43245</v>
      </c>
      <c r="F776" t="s">
        <v>1</v>
      </c>
      <c r="G776" t="s">
        <v>3</v>
      </c>
      <c r="H776">
        <v>250</v>
      </c>
      <c r="I776">
        <v>450</v>
      </c>
      <c r="J776">
        <v>80</v>
      </c>
      <c r="K776">
        <f>Claim[[#This Row],[Monto de prima]]-SUM(Claim[[#This Row],[Costo el reclamo]:[Costo de delivery]])</f>
        <v>-280</v>
      </c>
      <c r="L776" t="s">
        <v>10</v>
      </c>
      <c r="M776" t="s">
        <v>16</v>
      </c>
    </row>
    <row r="777" spans="2:13" x14ac:dyDescent="0.35">
      <c r="B777">
        <v>773</v>
      </c>
      <c r="C777">
        <v>4904</v>
      </c>
      <c r="D777" s="1">
        <v>42844</v>
      </c>
      <c r="E777" s="1">
        <v>42844</v>
      </c>
      <c r="F777" t="s">
        <v>4</v>
      </c>
      <c r="G777" t="s">
        <v>2</v>
      </c>
      <c r="H777">
        <v>1000</v>
      </c>
      <c r="I777">
        <v>550</v>
      </c>
      <c r="J777">
        <v>50</v>
      </c>
      <c r="K777">
        <f>Claim[[#This Row],[Monto de prima]]-SUM(Claim[[#This Row],[Costo el reclamo]:[Costo de delivery]])</f>
        <v>400</v>
      </c>
      <c r="L777" t="s">
        <v>12</v>
      </c>
      <c r="M777" t="s">
        <v>19</v>
      </c>
    </row>
    <row r="778" spans="2:13" x14ac:dyDescent="0.35">
      <c r="B778">
        <v>774</v>
      </c>
      <c r="C778">
        <v>3213</v>
      </c>
      <c r="D778" s="1">
        <v>40934</v>
      </c>
      <c r="E778" s="1">
        <v>41863</v>
      </c>
      <c r="F778" t="s">
        <v>4</v>
      </c>
      <c r="G778" t="s">
        <v>5</v>
      </c>
      <c r="H778">
        <v>1000</v>
      </c>
      <c r="I778">
        <v>550</v>
      </c>
      <c r="J778">
        <v>50</v>
      </c>
      <c r="K778">
        <f>Claim[[#This Row],[Monto de prima]]-SUM(Claim[[#This Row],[Costo el reclamo]:[Costo de delivery]])</f>
        <v>400</v>
      </c>
      <c r="L778" t="s">
        <v>10</v>
      </c>
      <c r="M778" t="s">
        <v>16</v>
      </c>
    </row>
    <row r="779" spans="2:13" x14ac:dyDescent="0.35">
      <c r="B779">
        <v>775</v>
      </c>
      <c r="C779">
        <v>1140</v>
      </c>
      <c r="D779" s="1">
        <v>41250</v>
      </c>
      <c r="E779" s="1">
        <v>43317</v>
      </c>
      <c r="F779" t="s">
        <v>31</v>
      </c>
      <c r="G779" t="s">
        <v>6</v>
      </c>
      <c r="H779">
        <v>2000</v>
      </c>
      <c r="I779">
        <v>800</v>
      </c>
      <c r="J779">
        <v>20</v>
      </c>
      <c r="K779">
        <f>Claim[[#This Row],[Monto de prima]]-SUM(Claim[[#This Row],[Costo el reclamo]:[Costo de delivery]])</f>
        <v>1180</v>
      </c>
      <c r="L779" t="s">
        <v>12</v>
      </c>
      <c r="M779" t="s">
        <v>19</v>
      </c>
    </row>
    <row r="780" spans="2:13" x14ac:dyDescent="0.35">
      <c r="B780">
        <v>776</v>
      </c>
      <c r="C780">
        <v>2906</v>
      </c>
      <c r="D780" s="1">
        <v>42159</v>
      </c>
      <c r="E780" s="1">
        <v>43366</v>
      </c>
      <c r="F780" t="s">
        <v>1</v>
      </c>
      <c r="G780" t="s">
        <v>5</v>
      </c>
      <c r="H780">
        <v>250</v>
      </c>
      <c r="I780">
        <v>450</v>
      </c>
      <c r="J780">
        <v>100</v>
      </c>
      <c r="K780">
        <f>Claim[[#This Row],[Monto de prima]]-SUM(Claim[[#This Row],[Costo el reclamo]:[Costo de delivery]])</f>
        <v>-300</v>
      </c>
      <c r="L780" t="s">
        <v>11</v>
      </c>
      <c r="M780" t="s">
        <v>18</v>
      </c>
    </row>
    <row r="781" spans="2:13" x14ac:dyDescent="0.35">
      <c r="B781">
        <v>777</v>
      </c>
      <c r="C781">
        <v>3637</v>
      </c>
      <c r="D781" s="1">
        <v>43138</v>
      </c>
      <c r="E781" s="1">
        <v>43138</v>
      </c>
      <c r="F781" t="s">
        <v>4</v>
      </c>
      <c r="G781" t="s">
        <v>6</v>
      </c>
      <c r="H781">
        <v>1000</v>
      </c>
      <c r="I781">
        <v>550</v>
      </c>
      <c r="J781">
        <v>30</v>
      </c>
      <c r="K781">
        <f>Claim[[#This Row],[Monto de prima]]-SUM(Claim[[#This Row],[Costo el reclamo]:[Costo de delivery]])</f>
        <v>420</v>
      </c>
      <c r="L781" t="s">
        <v>11</v>
      </c>
      <c r="M781" t="s">
        <v>18</v>
      </c>
    </row>
    <row r="782" spans="2:13" x14ac:dyDescent="0.35">
      <c r="B782">
        <v>778</v>
      </c>
      <c r="C782">
        <v>4836</v>
      </c>
      <c r="D782" s="1">
        <v>40528</v>
      </c>
      <c r="E782" s="1">
        <v>43486</v>
      </c>
      <c r="F782" t="s">
        <v>31</v>
      </c>
      <c r="G782" t="s">
        <v>3</v>
      </c>
      <c r="H782">
        <v>2000</v>
      </c>
      <c r="I782">
        <v>800</v>
      </c>
      <c r="J782">
        <v>30</v>
      </c>
      <c r="K782">
        <f>Claim[[#This Row],[Monto de prima]]-SUM(Claim[[#This Row],[Costo el reclamo]:[Costo de delivery]])</f>
        <v>1170</v>
      </c>
      <c r="L782" t="s">
        <v>9</v>
      </c>
      <c r="M782" t="s">
        <v>15</v>
      </c>
    </row>
    <row r="783" spans="2:13" x14ac:dyDescent="0.35">
      <c r="B783">
        <v>779</v>
      </c>
      <c r="C783">
        <v>2622</v>
      </c>
      <c r="D783" s="1">
        <v>43196</v>
      </c>
      <c r="E783" s="1">
        <v>43196</v>
      </c>
      <c r="F783" t="s">
        <v>31</v>
      </c>
      <c r="G783" t="s">
        <v>5</v>
      </c>
      <c r="H783">
        <v>2000</v>
      </c>
      <c r="I783">
        <v>800</v>
      </c>
      <c r="J783">
        <v>25</v>
      </c>
      <c r="K783">
        <f>Claim[[#This Row],[Monto de prima]]-SUM(Claim[[#This Row],[Costo el reclamo]:[Costo de delivery]])</f>
        <v>1175</v>
      </c>
      <c r="L783" t="s">
        <v>7</v>
      </c>
      <c r="M783" t="s">
        <v>16</v>
      </c>
    </row>
    <row r="784" spans="2:13" x14ac:dyDescent="0.35">
      <c r="B784">
        <v>780</v>
      </c>
      <c r="C784">
        <v>4289</v>
      </c>
      <c r="D784" s="1">
        <v>40932</v>
      </c>
      <c r="E784" s="1">
        <v>41824</v>
      </c>
      <c r="F784" t="s">
        <v>30</v>
      </c>
      <c r="G784" t="s">
        <v>3</v>
      </c>
      <c r="H784">
        <v>600</v>
      </c>
      <c r="I784">
        <v>200</v>
      </c>
      <c r="J784">
        <v>20</v>
      </c>
      <c r="K784">
        <f>Claim[[#This Row],[Monto de prima]]-SUM(Claim[[#This Row],[Costo el reclamo]:[Costo de delivery]])</f>
        <v>380</v>
      </c>
      <c r="L784" t="s">
        <v>13</v>
      </c>
      <c r="M784" t="s">
        <v>14</v>
      </c>
    </row>
    <row r="785" spans="2:13" x14ac:dyDescent="0.35">
      <c r="B785">
        <v>781</v>
      </c>
      <c r="C785">
        <v>1655</v>
      </c>
      <c r="D785" s="1">
        <v>43065</v>
      </c>
      <c r="E785" s="1">
        <v>43783</v>
      </c>
      <c r="F785" t="s">
        <v>31</v>
      </c>
      <c r="G785" t="s">
        <v>3</v>
      </c>
      <c r="H785">
        <v>2000</v>
      </c>
      <c r="I785">
        <v>800</v>
      </c>
      <c r="J785">
        <v>30</v>
      </c>
      <c r="K785">
        <f>Claim[[#This Row],[Monto de prima]]-SUM(Claim[[#This Row],[Costo el reclamo]:[Costo de delivery]])</f>
        <v>1170</v>
      </c>
      <c r="L785" t="s">
        <v>7</v>
      </c>
      <c r="M785" t="s">
        <v>16</v>
      </c>
    </row>
    <row r="786" spans="2:13" x14ac:dyDescent="0.35">
      <c r="B786">
        <v>782</v>
      </c>
      <c r="C786">
        <v>4443</v>
      </c>
      <c r="D786" s="1">
        <v>41082</v>
      </c>
      <c r="E786" s="1">
        <v>42382</v>
      </c>
      <c r="F786" t="s">
        <v>1</v>
      </c>
      <c r="G786" t="s">
        <v>2</v>
      </c>
      <c r="H786">
        <v>250</v>
      </c>
      <c r="I786">
        <v>450</v>
      </c>
      <c r="J786">
        <v>30</v>
      </c>
      <c r="K786">
        <f>Claim[[#This Row],[Monto de prima]]-SUM(Claim[[#This Row],[Costo el reclamo]:[Costo de delivery]])</f>
        <v>-230</v>
      </c>
      <c r="L786" t="s">
        <v>8</v>
      </c>
      <c r="M786" t="s">
        <v>17</v>
      </c>
    </row>
    <row r="787" spans="2:13" x14ac:dyDescent="0.35">
      <c r="B787">
        <v>783</v>
      </c>
      <c r="C787">
        <v>4856</v>
      </c>
      <c r="D787" s="1">
        <v>41835</v>
      </c>
      <c r="E787" s="1">
        <v>41858</v>
      </c>
      <c r="F787" t="s">
        <v>4</v>
      </c>
      <c r="G787" t="s">
        <v>3</v>
      </c>
      <c r="H787">
        <v>1000</v>
      </c>
      <c r="I787">
        <v>550</v>
      </c>
      <c r="J787">
        <v>80</v>
      </c>
      <c r="K787">
        <f>Claim[[#This Row],[Monto de prima]]-SUM(Claim[[#This Row],[Costo el reclamo]:[Costo de delivery]])</f>
        <v>370</v>
      </c>
      <c r="L787" t="s">
        <v>12</v>
      </c>
      <c r="M787" t="s">
        <v>19</v>
      </c>
    </row>
    <row r="788" spans="2:13" x14ac:dyDescent="0.35">
      <c r="B788">
        <v>784</v>
      </c>
      <c r="C788">
        <v>4274</v>
      </c>
      <c r="D788" s="1">
        <v>41149</v>
      </c>
      <c r="E788" s="1">
        <v>42460</v>
      </c>
      <c r="F788" t="s">
        <v>31</v>
      </c>
      <c r="G788" t="s">
        <v>2</v>
      </c>
      <c r="H788">
        <v>2000</v>
      </c>
      <c r="I788">
        <v>800</v>
      </c>
      <c r="J788">
        <v>40</v>
      </c>
      <c r="K788">
        <f>Claim[[#This Row],[Monto de prima]]-SUM(Claim[[#This Row],[Costo el reclamo]:[Costo de delivery]])</f>
        <v>1160</v>
      </c>
      <c r="L788" t="s">
        <v>11</v>
      </c>
      <c r="M788" t="s">
        <v>18</v>
      </c>
    </row>
    <row r="789" spans="2:13" x14ac:dyDescent="0.35">
      <c r="B789">
        <v>785</v>
      </c>
      <c r="C789">
        <v>1141</v>
      </c>
      <c r="D789" s="1">
        <v>42328</v>
      </c>
      <c r="E789" s="1">
        <v>42877</v>
      </c>
      <c r="F789" t="s">
        <v>30</v>
      </c>
      <c r="G789" t="s">
        <v>6</v>
      </c>
      <c r="H789">
        <v>600</v>
      </c>
      <c r="I789">
        <v>200</v>
      </c>
      <c r="J789">
        <v>15</v>
      </c>
      <c r="K789">
        <f>Claim[[#This Row],[Monto de prima]]-SUM(Claim[[#This Row],[Costo el reclamo]:[Costo de delivery]])</f>
        <v>385</v>
      </c>
      <c r="L789" t="s">
        <v>9</v>
      </c>
      <c r="M789" t="s">
        <v>15</v>
      </c>
    </row>
    <row r="790" spans="2:13" x14ac:dyDescent="0.35">
      <c r="B790">
        <v>786</v>
      </c>
      <c r="C790">
        <v>2065</v>
      </c>
      <c r="D790" s="1">
        <v>40520</v>
      </c>
      <c r="E790" s="1">
        <v>41502</v>
      </c>
      <c r="F790" t="s">
        <v>1</v>
      </c>
      <c r="G790" t="s">
        <v>5</v>
      </c>
      <c r="H790">
        <v>250</v>
      </c>
      <c r="I790">
        <v>450</v>
      </c>
      <c r="J790">
        <v>100</v>
      </c>
      <c r="K790">
        <f>Claim[[#This Row],[Monto de prima]]-SUM(Claim[[#This Row],[Costo el reclamo]:[Costo de delivery]])</f>
        <v>-300</v>
      </c>
      <c r="L790" t="s">
        <v>12</v>
      </c>
      <c r="M790" t="s">
        <v>19</v>
      </c>
    </row>
    <row r="791" spans="2:13" x14ac:dyDescent="0.35">
      <c r="B791">
        <v>787</v>
      </c>
      <c r="C791">
        <v>3043</v>
      </c>
      <c r="D791" s="1">
        <v>41849</v>
      </c>
      <c r="E791" s="1">
        <v>43534</v>
      </c>
      <c r="F791" t="s">
        <v>1</v>
      </c>
      <c r="G791" t="s">
        <v>3</v>
      </c>
      <c r="H791">
        <v>250</v>
      </c>
      <c r="I791">
        <v>450</v>
      </c>
      <c r="J791">
        <v>80</v>
      </c>
      <c r="K791">
        <f>Claim[[#This Row],[Monto de prima]]-SUM(Claim[[#This Row],[Costo el reclamo]:[Costo de delivery]])</f>
        <v>-280</v>
      </c>
      <c r="L791" t="s">
        <v>12</v>
      </c>
      <c r="M791" t="s">
        <v>19</v>
      </c>
    </row>
    <row r="792" spans="2:13" x14ac:dyDescent="0.35">
      <c r="B792">
        <v>788</v>
      </c>
      <c r="C792">
        <v>3178</v>
      </c>
      <c r="D792" s="1">
        <v>42708</v>
      </c>
      <c r="E792" s="1">
        <v>42708</v>
      </c>
      <c r="F792" t="s">
        <v>30</v>
      </c>
      <c r="G792" t="s">
        <v>3</v>
      </c>
      <c r="H792">
        <v>600</v>
      </c>
      <c r="I792">
        <v>200</v>
      </c>
      <c r="J792">
        <v>20</v>
      </c>
      <c r="K792">
        <f>Claim[[#This Row],[Monto de prima]]-SUM(Claim[[#This Row],[Costo el reclamo]:[Costo de delivery]])</f>
        <v>380</v>
      </c>
      <c r="L792" t="s">
        <v>9</v>
      </c>
      <c r="M792" t="s">
        <v>15</v>
      </c>
    </row>
    <row r="793" spans="2:13" x14ac:dyDescent="0.35">
      <c r="B793">
        <v>789</v>
      </c>
      <c r="C793">
        <v>1409</v>
      </c>
      <c r="D793" s="1">
        <v>41532</v>
      </c>
      <c r="E793" s="1">
        <v>43755</v>
      </c>
      <c r="F793" t="s">
        <v>1</v>
      </c>
      <c r="G793" t="s">
        <v>5</v>
      </c>
      <c r="H793">
        <v>250</v>
      </c>
      <c r="I793">
        <v>450</v>
      </c>
      <c r="J793">
        <v>100</v>
      </c>
      <c r="K793">
        <f>Claim[[#This Row],[Monto de prima]]-SUM(Claim[[#This Row],[Costo el reclamo]:[Costo de delivery]])</f>
        <v>-300</v>
      </c>
      <c r="L793" t="s">
        <v>11</v>
      </c>
      <c r="M793" t="s">
        <v>18</v>
      </c>
    </row>
    <row r="794" spans="2:13" x14ac:dyDescent="0.35">
      <c r="B794">
        <v>790</v>
      </c>
      <c r="C794">
        <v>1544</v>
      </c>
      <c r="D794" s="1">
        <v>40847</v>
      </c>
      <c r="E794" s="1">
        <v>42465</v>
      </c>
      <c r="F794" t="s">
        <v>31</v>
      </c>
      <c r="G794" t="s">
        <v>2</v>
      </c>
      <c r="H794">
        <v>2000</v>
      </c>
      <c r="I794">
        <v>800</v>
      </c>
      <c r="J794">
        <v>40</v>
      </c>
      <c r="K794">
        <f>Claim[[#This Row],[Monto de prima]]-SUM(Claim[[#This Row],[Costo el reclamo]:[Costo de delivery]])</f>
        <v>1160</v>
      </c>
      <c r="L794" t="s">
        <v>10</v>
      </c>
      <c r="M794" t="s">
        <v>16</v>
      </c>
    </row>
    <row r="795" spans="2:13" x14ac:dyDescent="0.35">
      <c r="B795">
        <v>791</v>
      </c>
      <c r="C795">
        <v>2789</v>
      </c>
      <c r="D795" s="1">
        <v>40245</v>
      </c>
      <c r="E795" s="1">
        <v>41193</v>
      </c>
      <c r="F795" t="s">
        <v>30</v>
      </c>
      <c r="G795" t="s">
        <v>3</v>
      </c>
      <c r="H795">
        <v>600</v>
      </c>
      <c r="I795">
        <v>200</v>
      </c>
      <c r="J795">
        <v>20</v>
      </c>
      <c r="K795">
        <f>Claim[[#This Row],[Monto de prima]]-SUM(Claim[[#This Row],[Costo el reclamo]:[Costo de delivery]])</f>
        <v>380</v>
      </c>
      <c r="L795" t="s">
        <v>10</v>
      </c>
      <c r="M795" t="s">
        <v>16</v>
      </c>
    </row>
    <row r="796" spans="2:13" x14ac:dyDescent="0.35">
      <c r="B796">
        <v>792</v>
      </c>
      <c r="C796">
        <v>1236</v>
      </c>
      <c r="D796" s="1">
        <v>42673</v>
      </c>
      <c r="E796" s="1">
        <v>42673</v>
      </c>
      <c r="F796" t="s">
        <v>30</v>
      </c>
      <c r="G796" t="s">
        <v>3</v>
      </c>
      <c r="H796">
        <v>600</v>
      </c>
      <c r="I796">
        <v>200</v>
      </c>
      <c r="J796">
        <v>20</v>
      </c>
      <c r="K796">
        <f>Claim[[#This Row],[Monto de prima]]-SUM(Claim[[#This Row],[Costo el reclamo]:[Costo de delivery]])</f>
        <v>380</v>
      </c>
      <c r="L796" t="s">
        <v>8</v>
      </c>
      <c r="M796" t="s">
        <v>17</v>
      </c>
    </row>
    <row r="797" spans="2:13" x14ac:dyDescent="0.35">
      <c r="B797">
        <v>793</v>
      </c>
      <c r="C797">
        <v>4998</v>
      </c>
      <c r="D797" s="1">
        <v>41940</v>
      </c>
      <c r="E797" s="1">
        <v>41940</v>
      </c>
      <c r="F797" t="s">
        <v>31</v>
      </c>
      <c r="G797" t="s">
        <v>2</v>
      </c>
      <c r="H797">
        <v>2000</v>
      </c>
      <c r="I797">
        <v>800</v>
      </c>
      <c r="J797">
        <v>40</v>
      </c>
      <c r="K797">
        <f>Claim[[#This Row],[Monto de prima]]-SUM(Claim[[#This Row],[Costo el reclamo]:[Costo de delivery]])</f>
        <v>1160</v>
      </c>
      <c r="L797" t="s">
        <v>9</v>
      </c>
      <c r="M797" t="s">
        <v>15</v>
      </c>
    </row>
    <row r="798" spans="2:13" x14ac:dyDescent="0.35">
      <c r="B798">
        <v>794</v>
      </c>
      <c r="C798">
        <v>3437</v>
      </c>
      <c r="D798" s="1">
        <v>40588</v>
      </c>
      <c r="E798" s="1">
        <v>41953</v>
      </c>
      <c r="F798" t="s">
        <v>1</v>
      </c>
      <c r="G798" t="s">
        <v>3</v>
      </c>
      <c r="H798">
        <v>250</v>
      </c>
      <c r="I798">
        <v>450</v>
      </c>
      <c r="J798">
        <v>80</v>
      </c>
      <c r="K798">
        <f>Claim[[#This Row],[Monto de prima]]-SUM(Claim[[#This Row],[Costo el reclamo]:[Costo de delivery]])</f>
        <v>-280</v>
      </c>
      <c r="L798" t="s">
        <v>8</v>
      </c>
      <c r="M798" t="s">
        <v>17</v>
      </c>
    </row>
    <row r="799" spans="2:13" x14ac:dyDescent="0.35">
      <c r="B799">
        <v>795</v>
      </c>
      <c r="C799">
        <v>4250</v>
      </c>
      <c r="D799" s="1">
        <v>40404</v>
      </c>
      <c r="E799" s="1">
        <v>43610</v>
      </c>
      <c r="F799" t="s">
        <v>4</v>
      </c>
      <c r="G799" t="s">
        <v>3</v>
      </c>
      <c r="H799">
        <v>1000</v>
      </c>
      <c r="I799">
        <v>550</v>
      </c>
      <c r="J799">
        <v>80</v>
      </c>
      <c r="K799">
        <f>Claim[[#This Row],[Monto de prima]]-SUM(Claim[[#This Row],[Costo el reclamo]:[Costo de delivery]])</f>
        <v>370</v>
      </c>
      <c r="L799" t="s">
        <v>13</v>
      </c>
      <c r="M799" t="s">
        <v>14</v>
      </c>
    </row>
    <row r="800" spans="2:13" x14ac:dyDescent="0.35">
      <c r="B800">
        <v>796</v>
      </c>
      <c r="C800">
        <v>4125</v>
      </c>
      <c r="D800" s="1">
        <v>42469</v>
      </c>
      <c r="E800" s="1">
        <v>43464</v>
      </c>
      <c r="F800" t="s">
        <v>1</v>
      </c>
      <c r="G800" t="s">
        <v>2</v>
      </c>
      <c r="H800">
        <v>250</v>
      </c>
      <c r="I800">
        <v>450</v>
      </c>
      <c r="J800">
        <v>30</v>
      </c>
      <c r="K800">
        <f>Claim[[#This Row],[Monto de prima]]-SUM(Claim[[#This Row],[Costo el reclamo]:[Costo de delivery]])</f>
        <v>-230</v>
      </c>
      <c r="L800" t="s">
        <v>12</v>
      </c>
      <c r="M800" t="s">
        <v>19</v>
      </c>
    </row>
    <row r="801" spans="2:13" x14ac:dyDescent="0.35">
      <c r="B801">
        <v>797</v>
      </c>
      <c r="C801">
        <v>4980</v>
      </c>
      <c r="D801" s="1">
        <v>41933</v>
      </c>
      <c r="E801" s="1">
        <v>41933</v>
      </c>
      <c r="F801" t="s">
        <v>1</v>
      </c>
      <c r="G801" t="s">
        <v>6</v>
      </c>
      <c r="H801">
        <v>250</v>
      </c>
      <c r="I801">
        <v>450</v>
      </c>
      <c r="J801">
        <v>50</v>
      </c>
      <c r="K801">
        <f>Claim[[#This Row],[Monto de prima]]-SUM(Claim[[#This Row],[Costo el reclamo]:[Costo de delivery]])</f>
        <v>-250</v>
      </c>
      <c r="L801" t="s">
        <v>7</v>
      </c>
      <c r="M801" t="s">
        <v>16</v>
      </c>
    </row>
    <row r="802" spans="2:13" x14ac:dyDescent="0.35">
      <c r="B802">
        <v>798</v>
      </c>
      <c r="C802">
        <v>4570</v>
      </c>
      <c r="D802" s="1">
        <v>42115</v>
      </c>
      <c r="E802" s="1">
        <v>42115</v>
      </c>
      <c r="F802" t="s">
        <v>1</v>
      </c>
      <c r="G802" t="s">
        <v>6</v>
      </c>
      <c r="H802">
        <v>250</v>
      </c>
      <c r="I802">
        <v>450</v>
      </c>
      <c r="J802">
        <v>50</v>
      </c>
      <c r="K802">
        <f>Claim[[#This Row],[Monto de prima]]-SUM(Claim[[#This Row],[Costo el reclamo]:[Costo de delivery]])</f>
        <v>-250</v>
      </c>
      <c r="L802" t="s">
        <v>8</v>
      </c>
      <c r="M802" t="s">
        <v>17</v>
      </c>
    </row>
    <row r="803" spans="2:13" x14ac:dyDescent="0.35">
      <c r="B803">
        <v>799</v>
      </c>
      <c r="C803">
        <v>4019</v>
      </c>
      <c r="D803" s="1">
        <v>41187</v>
      </c>
      <c r="E803" s="1">
        <v>43065</v>
      </c>
      <c r="F803" t="s">
        <v>30</v>
      </c>
      <c r="G803" t="s">
        <v>2</v>
      </c>
      <c r="H803">
        <v>600</v>
      </c>
      <c r="I803">
        <v>200</v>
      </c>
      <c r="J803">
        <v>35</v>
      </c>
      <c r="K803">
        <f>Claim[[#This Row],[Monto de prima]]-SUM(Claim[[#This Row],[Costo el reclamo]:[Costo de delivery]])</f>
        <v>365</v>
      </c>
      <c r="L803" t="s">
        <v>12</v>
      </c>
      <c r="M803" t="s">
        <v>19</v>
      </c>
    </row>
    <row r="804" spans="2:13" x14ac:dyDescent="0.35">
      <c r="B804">
        <v>800</v>
      </c>
      <c r="C804">
        <v>4948</v>
      </c>
      <c r="D804" s="1">
        <v>42608</v>
      </c>
      <c r="E804" s="1">
        <v>42608</v>
      </c>
      <c r="F804" t="s">
        <v>1</v>
      </c>
      <c r="G804" t="s">
        <v>6</v>
      </c>
      <c r="H804">
        <v>250</v>
      </c>
      <c r="I804">
        <v>450</v>
      </c>
      <c r="J804">
        <v>50</v>
      </c>
      <c r="K804">
        <f>Claim[[#This Row],[Monto de prima]]-SUM(Claim[[#This Row],[Costo el reclamo]:[Costo de delivery]])</f>
        <v>-250</v>
      </c>
      <c r="L804" t="s">
        <v>12</v>
      </c>
      <c r="M804" t="s">
        <v>19</v>
      </c>
    </row>
    <row r="805" spans="2:13" x14ac:dyDescent="0.35">
      <c r="B805">
        <v>801</v>
      </c>
      <c r="C805">
        <v>4219</v>
      </c>
      <c r="D805" s="1">
        <v>40987</v>
      </c>
      <c r="E805" s="1">
        <v>41841</v>
      </c>
      <c r="F805" t="s">
        <v>30</v>
      </c>
      <c r="G805" t="s">
        <v>3</v>
      </c>
      <c r="H805">
        <v>600</v>
      </c>
      <c r="I805">
        <v>200</v>
      </c>
      <c r="J805">
        <v>20</v>
      </c>
      <c r="K805">
        <f>Claim[[#This Row],[Monto de prima]]-SUM(Claim[[#This Row],[Costo el reclamo]:[Costo de delivery]])</f>
        <v>380</v>
      </c>
      <c r="L805" t="s">
        <v>10</v>
      </c>
      <c r="M805" t="s">
        <v>16</v>
      </c>
    </row>
    <row r="806" spans="2:13" x14ac:dyDescent="0.35">
      <c r="B806">
        <v>802</v>
      </c>
      <c r="C806">
        <v>3000</v>
      </c>
      <c r="D806" s="1">
        <v>41591</v>
      </c>
      <c r="E806" s="1">
        <v>41591</v>
      </c>
      <c r="F806" t="s">
        <v>1</v>
      </c>
      <c r="G806" t="s">
        <v>6</v>
      </c>
      <c r="H806">
        <v>250</v>
      </c>
      <c r="I806">
        <v>450</v>
      </c>
      <c r="J806">
        <v>50</v>
      </c>
      <c r="K806">
        <f>Claim[[#This Row],[Monto de prima]]-SUM(Claim[[#This Row],[Costo el reclamo]:[Costo de delivery]])</f>
        <v>-250</v>
      </c>
      <c r="L806" t="s">
        <v>9</v>
      </c>
      <c r="M806" t="s">
        <v>15</v>
      </c>
    </row>
    <row r="807" spans="2:13" x14ac:dyDescent="0.35">
      <c r="B807">
        <v>803</v>
      </c>
      <c r="C807">
        <v>3002</v>
      </c>
      <c r="D807" s="1">
        <v>40999</v>
      </c>
      <c r="E807" s="1">
        <v>43562</v>
      </c>
      <c r="F807" t="s">
        <v>30</v>
      </c>
      <c r="G807" t="s">
        <v>5</v>
      </c>
      <c r="H807">
        <v>600</v>
      </c>
      <c r="I807">
        <v>200</v>
      </c>
      <c r="J807">
        <v>50</v>
      </c>
      <c r="K807">
        <f>Claim[[#This Row],[Monto de prima]]-SUM(Claim[[#This Row],[Costo el reclamo]:[Costo de delivery]])</f>
        <v>350</v>
      </c>
      <c r="L807" t="s">
        <v>13</v>
      </c>
      <c r="M807" t="s">
        <v>14</v>
      </c>
    </row>
    <row r="808" spans="2:13" x14ac:dyDescent="0.35">
      <c r="B808">
        <v>804</v>
      </c>
      <c r="C808">
        <v>3034</v>
      </c>
      <c r="D808" s="1">
        <v>41636</v>
      </c>
      <c r="E808" s="1">
        <v>41636</v>
      </c>
      <c r="F808" t="s">
        <v>1</v>
      </c>
      <c r="G808" t="s">
        <v>6</v>
      </c>
      <c r="H808">
        <v>250</v>
      </c>
      <c r="I808">
        <v>450</v>
      </c>
      <c r="J808">
        <v>50</v>
      </c>
      <c r="K808">
        <f>Claim[[#This Row],[Monto de prima]]-SUM(Claim[[#This Row],[Costo el reclamo]:[Costo de delivery]])</f>
        <v>-250</v>
      </c>
      <c r="L808" t="s">
        <v>7</v>
      </c>
      <c r="M808" t="s">
        <v>16</v>
      </c>
    </row>
    <row r="809" spans="2:13" x14ac:dyDescent="0.35">
      <c r="B809">
        <v>805</v>
      </c>
      <c r="C809">
        <v>2308</v>
      </c>
      <c r="D809" s="1">
        <v>40418</v>
      </c>
      <c r="E809" s="1">
        <v>41356</v>
      </c>
      <c r="F809" t="s">
        <v>1</v>
      </c>
      <c r="G809" t="s">
        <v>2</v>
      </c>
      <c r="H809">
        <v>250</v>
      </c>
      <c r="I809">
        <v>450</v>
      </c>
      <c r="J809">
        <v>30</v>
      </c>
      <c r="K809">
        <f>Claim[[#This Row],[Monto de prima]]-SUM(Claim[[#This Row],[Costo el reclamo]:[Costo de delivery]])</f>
        <v>-230</v>
      </c>
      <c r="L809" t="s">
        <v>7</v>
      </c>
      <c r="M809" t="s">
        <v>16</v>
      </c>
    </row>
    <row r="810" spans="2:13" x14ac:dyDescent="0.35">
      <c r="B810">
        <v>806</v>
      </c>
      <c r="C810">
        <v>1801</v>
      </c>
      <c r="D810" s="1">
        <v>40333</v>
      </c>
      <c r="E810" s="1">
        <v>43062</v>
      </c>
      <c r="F810" t="s">
        <v>4</v>
      </c>
      <c r="G810" t="s">
        <v>2</v>
      </c>
      <c r="H810">
        <v>1000</v>
      </c>
      <c r="I810">
        <v>550</v>
      </c>
      <c r="J810">
        <v>50</v>
      </c>
      <c r="K810">
        <f>Claim[[#This Row],[Monto de prima]]-SUM(Claim[[#This Row],[Costo el reclamo]:[Costo de delivery]])</f>
        <v>400</v>
      </c>
      <c r="L810" t="s">
        <v>8</v>
      </c>
      <c r="M810" t="s">
        <v>17</v>
      </c>
    </row>
    <row r="811" spans="2:13" x14ac:dyDescent="0.35">
      <c r="B811">
        <v>807</v>
      </c>
      <c r="C811">
        <v>4031</v>
      </c>
      <c r="D811" s="1">
        <v>42909</v>
      </c>
      <c r="E811" s="1">
        <v>42909</v>
      </c>
      <c r="F811" t="s">
        <v>1</v>
      </c>
      <c r="G811" t="s">
        <v>3</v>
      </c>
      <c r="H811">
        <v>250</v>
      </c>
      <c r="I811">
        <v>450</v>
      </c>
      <c r="J811">
        <v>80</v>
      </c>
      <c r="K811">
        <f>Claim[[#This Row],[Monto de prima]]-SUM(Claim[[#This Row],[Costo el reclamo]:[Costo de delivery]])</f>
        <v>-280</v>
      </c>
      <c r="L811" t="s">
        <v>7</v>
      </c>
      <c r="M811" t="s">
        <v>16</v>
      </c>
    </row>
    <row r="812" spans="2:13" x14ac:dyDescent="0.35">
      <c r="B812">
        <v>808</v>
      </c>
      <c r="C812">
        <v>1442</v>
      </c>
      <c r="D812" s="1">
        <v>42986</v>
      </c>
      <c r="E812" s="1">
        <v>42986</v>
      </c>
      <c r="F812" t="s">
        <v>30</v>
      </c>
      <c r="G812" t="s">
        <v>6</v>
      </c>
      <c r="H812">
        <v>600</v>
      </c>
      <c r="I812">
        <v>200</v>
      </c>
      <c r="J812">
        <v>15</v>
      </c>
      <c r="K812">
        <f>Claim[[#This Row],[Monto de prima]]-SUM(Claim[[#This Row],[Costo el reclamo]:[Costo de delivery]])</f>
        <v>385</v>
      </c>
      <c r="L812" t="s">
        <v>10</v>
      </c>
      <c r="M812" t="s">
        <v>16</v>
      </c>
    </row>
    <row r="813" spans="2:13" x14ac:dyDescent="0.35">
      <c r="B813">
        <v>809</v>
      </c>
      <c r="C813">
        <v>3038</v>
      </c>
      <c r="D813" s="1">
        <v>40681</v>
      </c>
      <c r="E813" s="1">
        <v>43471</v>
      </c>
      <c r="F813" t="s">
        <v>30</v>
      </c>
      <c r="G813" t="s">
        <v>2</v>
      </c>
      <c r="H813">
        <v>600</v>
      </c>
      <c r="I813">
        <v>200</v>
      </c>
      <c r="J813">
        <v>35</v>
      </c>
      <c r="K813">
        <f>Claim[[#This Row],[Monto de prima]]-SUM(Claim[[#This Row],[Costo el reclamo]:[Costo de delivery]])</f>
        <v>365</v>
      </c>
      <c r="L813" t="s">
        <v>9</v>
      </c>
      <c r="M813" t="s">
        <v>15</v>
      </c>
    </row>
    <row r="814" spans="2:13" x14ac:dyDescent="0.35">
      <c r="B814">
        <v>810</v>
      </c>
      <c r="C814">
        <v>2661</v>
      </c>
      <c r="D814" s="1">
        <v>40495</v>
      </c>
      <c r="E814" s="1">
        <v>43127</v>
      </c>
      <c r="F814" t="s">
        <v>31</v>
      </c>
      <c r="G814" t="s">
        <v>5</v>
      </c>
      <c r="H814">
        <v>2000</v>
      </c>
      <c r="I814">
        <v>800</v>
      </c>
      <c r="J814">
        <v>25</v>
      </c>
      <c r="K814">
        <f>Claim[[#This Row],[Monto de prima]]-SUM(Claim[[#This Row],[Costo el reclamo]:[Costo de delivery]])</f>
        <v>1175</v>
      </c>
      <c r="L814" t="s">
        <v>7</v>
      </c>
      <c r="M814" t="s">
        <v>16</v>
      </c>
    </row>
    <row r="815" spans="2:13" x14ac:dyDescent="0.35">
      <c r="B815">
        <v>811</v>
      </c>
      <c r="C815">
        <v>2615</v>
      </c>
      <c r="D815" s="1">
        <v>42825</v>
      </c>
      <c r="E815" s="1">
        <v>42825</v>
      </c>
      <c r="F815" t="s">
        <v>30</v>
      </c>
      <c r="G815" t="s">
        <v>3</v>
      </c>
      <c r="H815">
        <v>600</v>
      </c>
      <c r="I815">
        <v>200</v>
      </c>
      <c r="J815">
        <v>20</v>
      </c>
      <c r="K815">
        <f>Claim[[#This Row],[Monto de prima]]-SUM(Claim[[#This Row],[Costo el reclamo]:[Costo de delivery]])</f>
        <v>380</v>
      </c>
      <c r="L815" t="s">
        <v>10</v>
      </c>
      <c r="M815" t="s">
        <v>16</v>
      </c>
    </row>
    <row r="816" spans="2:13" x14ac:dyDescent="0.35">
      <c r="B816">
        <v>812</v>
      </c>
      <c r="C816">
        <v>2152</v>
      </c>
      <c r="D816" s="1">
        <v>42644</v>
      </c>
      <c r="E816" s="1">
        <v>42644</v>
      </c>
      <c r="F816" t="s">
        <v>1</v>
      </c>
      <c r="G816" t="s">
        <v>3</v>
      </c>
      <c r="H816">
        <v>250</v>
      </c>
      <c r="I816">
        <v>450</v>
      </c>
      <c r="J816">
        <v>80</v>
      </c>
      <c r="K816">
        <f>Claim[[#This Row],[Monto de prima]]-SUM(Claim[[#This Row],[Costo el reclamo]:[Costo de delivery]])</f>
        <v>-280</v>
      </c>
      <c r="L816" t="s">
        <v>13</v>
      </c>
      <c r="M816" t="s">
        <v>14</v>
      </c>
    </row>
    <row r="817" spans="2:13" x14ac:dyDescent="0.35">
      <c r="B817">
        <v>813</v>
      </c>
      <c r="C817">
        <v>2851</v>
      </c>
      <c r="D817" s="1">
        <v>41511</v>
      </c>
      <c r="E817" s="1">
        <v>42469</v>
      </c>
      <c r="F817" t="s">
        <v>31</v>
      </c>
      <c r="G817" t="s">
        <v>2</v>
      </c>
      <c r="H817">
        <v>2000</v>
      </c>
      <c r="I817">
        <v>800</v>
      </c>
      <c r="J817">
        <v>40</v>
      </c>
      <c r="K817">
        <f>Claim[[#This Row],[Monto de prima]]-SUM(Claim[[#This Row],[Costo el reclamo]:[Costo de delivery]])</f>
        <v>1160</v>
      </c>
      <c r="L817" t="s">
        <v>13</v>
      </c>
      <c r="M817" t="s">
        <v>14</v>
      </c>
    </row>
    <row r="818" spans="2:13" x14ac:dyDescent="0.35">
      <c r="B818">
        <v>814</v>
      </c>
      <c r="C818">
        <v>3479</v>
      </c>
      <c r="D818" s="1">
        <v>42779</v>
      </c>
      <c r="E818" s="1">
        <v>42779</v>
      </c>
      <c r="F818" t="s">
        <v>4</v>
      </c>
      <c r="G818" t="s">
        <v>3</v>
      </c>
      <c r="H818">
        <v>1000</v>
      </c>
      <c r="I818">
        <v>550</v>
      </c>
      <c r="J818">
        <v>80</v>
      </c>
      <c r="K818">
        <f>Claim[[#This Row],[Monto de prima]]-SUM(Claim[[#This Row],[Costo el reclamo]:[Costo de delivery]])</f>
        <v>370</v>
      </c>
      <c r="L818" t="s">
        <v>10</v>
      </c>
      <c r="M818" t="s">
        <v>16</v>
      </c>
    </row>
    <row r="819" spans="2:13" x14ac:dyDescent="0.35">
      <c r="B819">
        <v>815</v>
      </c>
      <c r="C819">
        <v>1493</v>
      </c>
      <c r="D819" s="1">
        <v>41854</v>
      </c>
      <c r="E819" s="1">
        <v>42711</v>
      </c>
      <c r="F819" t="s">
        <v>1</v>
      </c>
      <c r="G819" t="s">
        <v>6</v>
      </c>
      <c r="H819">
        <v>250</v>
      </c>
      <c r="I819">
        <v>450</v>
      </c>
      <c r="J819">
        <v>50</v>
      </c>
      <c r="K819">
        <f>Claim[[#This Row],[Monto de prima]]-SUM(Claim[[#This Row],[Costo el reclamo]:[Costo de delivery]])</f>
        <v>-250</v>
      </c>
      <c r="L819" t="s">
        <v>13</v>
      </c>
      <c r="M819" t="s">
        <v>14</v>
      </c>
    </row>
    <row r="820" spans="2:13" x14ac:dyDescent="0.35">
      <c r="B820">
        <v>816</v>
      </c>
      <c r="C820">
        <v>3339</v>
      </c>
      <c r="D820" s="1">
        <v>40772</v>
      </c>
      <c r="E820" s="1">
        <v>41917</v>
      </c>
      <c r="F820" t="s">
        <v>4</v>
      </c>
      <c r="G820" t="s">
        <v>6</v>
      </c>
      <c r="H820">
        <v>1000</v>
      </c>
      <c r="I820">
        <v>550</v>
      </c>
      <c r="J820">
        <v>30</v>
      </c>
      <c r="K820">
        <f>Claim[[#This Row],[Monto de prima]]-SUM(Claim[[#This Row],[Costo el reclamo]:[Costo de delivery]])</f>
        <v>420</v>
      </c>
      <c r="L820" t="s">
        <v>13</v>
      </c>
      <c r="M820" t="s">
        <v>14</v>
      </c>
    </row>
    <row r="821" spans="2:13" x14ac:dyDescent="0.35">
      <c r="B821">
        <v>817</v>
      </c>
      <c r="C821">
        <v>3394</v>
      </c>
      <c r="D821" s="1">
        <v>43080</v>
      </c>
      <c r="E821" s="1">
        <v>43168</v>
      </c>
      <c r="F821" t="s">
        <v>30</v>
      </c>
      <c r="G821" t="s">
        <v>2</v>
      </c>
      <c r="H821">
        <v>600</v>
      </c>
      <c r="I821">
        <v>200</v>
      </c>
      <c r="J821">
        <v>35</v>
      </c>
      <c r="K821">
        <f>Claim[[#This Row],[Monto de prima]]-SUM(Claim[[#This Row],[Costo el reclamo]:[Costo de delivery]])</f>
        <v>365</v>
      </c>
      <c r="L821" t="s">
        <v>8</v>
      </c>
      <c r="M821" t="s">
        <v>17</v>
      </c>
    </row>
    <row r="822" spans="2:13" x14ac:dyDescent="0.35">
      <c r="B822">
        <v>818</v>
      </c>
      <c r="C822">
        <v>1320</v>
      </c>
      <c r="D822" s="1">
        <v>41442</v>
      </c>
      <c r="E822" s="1">
        <v>42186</v>
      </c>
      <c r="F822" t="s">
        <v>4</v>
      </c>
      <c r="G822" t="s">
        <v>6</v>
      </c>
      <c r="H822">
        <v>1000</v>
      </c>
      <c r="I822">
        <v>550</v>
      </c>
      <c r="J822">
        <v>30</v>
      </c>
      <c r="K822">
        <f>Claim[[#This Row],[Monto de prima]]-SUM(Claim[[#This Row],[Costo el reclamo]:[Costo de delivery]])</f>
        <v>420</v>
      </c>
      <c r="L822" t="s">
        <v>8</v>
      </c>
      <c r="M822" t="s">
        <v>17</v>
      </c>
    </row>
    <row r="823" spans="2:13" x14ac:dyDescent="0.35">
      <c r="B823">
        <v>819</v>
      </c>
      <c r="C823">
        <v>1468</v>
      </c>
      <c r="D823" s="1">
        <v>42579</v>
      </c>
      <c r="E823" s="1">
        <v>42579</v>
      </c>
      <c r="F823" t="s">
        <v>4</v>
      </c>
      <c r="G823" t="s">
        <v>6</v>
      </c>
      <c r="H823">
        <v>1000</v>
      </c>
      <c r="I823">
        <v>550</v>
      </c>
      <c r="J823">
        <v>30</v>
      </c>
      <c r="K823">
        <f>Claim[[#This Row],[Monto de prima]]-SUM(Claim[[#This Row],[Costo el reclamo]:[Costo de delivery]])</f>
        <v>420</v>
      </c>
      <c r="L823" t="s">
        <v>10</v>
      </c>
      <c r="M823" t="s">
        <v>16</v>
      </c>
    </row>
    <row r="824" spans="2:13" x14ac:dyDescent="0.35">
      <c r="B824">
        <v>820</v>
      </c>
      <c r="C824">
        <v>2370</v>
      </c>
      <c r="D824" s="1">
        <v>41879</v>
      </c>
      <c r="E824" s="1">
        <v>43346</v>
      </c>
      <c r="F824" t="s">
        <v>1</v>
      </c>
      <c r="G824" t="s">
        <v>5</v>
      </c>
      <c r="H824">
        <v>250</v>
      </c>
      <c r="I824">
        <v>450</v>
      </c>
      <c r="J824">
        <v>100</v>
      </c>
      <c r="K824">
        <f>Claim[[#This Row],[Monto de prima]]-SUM(Claim[[#This Row],[Costo el reclamo]:[Costo de delivery]])</f>
        <v>-300</v>
      </c>
      <c r="L824" t="s">
        <v>12</v>
      </c>
      <c r="M824" t="s">
        <v>19</v>
      </c>
    </row>
    <row r="825" spans="2:13" x14ac:dyDescent="0.35">
      <c r="B825">
        <v>821</v>
      </c>
      <c r="C825">
        <v>2288</v>
      </c>
      <c r="D825" s="1">
        <v>41278</v>
      </c>
      <c r="E825" s="1">
        <v>41739</v>
      </c>
      <c r="F825" t="s">
        <v>30</v>
      </c>
      <c r="G825" t="s">
        <v>6</v>
      </c>
      <c r="H825">
        <v>600</v>
      </c>
      <c r="I825">
        <v>200</v>
      </c>
      <c r="J825">
        <v>15</v>
      </c>
      <c r="K825">
        <f>Claim[[#This Row],[Monto de prima]]-SUM(Claim[[#This Row],[Costo el reclamo]:[Costo de delivery]])</f>
        <v>385</v>
      </c>
      <c r="L825" t="s">
        <v>8</v>
      </c>
      <c r="M825" t="s">
        <v>17</v>
      </c>
    </row>
    <row r="826" spans="2:13" x14ac:dyDescent="0.35">
      <c r="B826">
        <v>822</v>
      </c>
      <c r="C826">
        <v>3847</v>
      </c>
      <c r="D826" s="1">
        <v>40222</v>
      </c>
      <c r="E826" s="1">
        <v>43735</v>
      </c>
      <c r="F826" t="s">
        <v>30</v>
      </c>
      <c r="G826" t="s">
        <v>5</v>
      </c>
      <c r="H826">
        <v>600</v>
      </c>
      <c r="I826">
        <v>200</v>
      </c>
      <c r="J826">
        <v>50</v>
      </c>
      <c r="K826">
        <f>Claim[[#This Row],[Monto de prima]]-SUM(Claim[[#This Row],[Costo el reclamo]:[Costo de delivery]])</f>
        <v>350</v>
      </c>
      <c r="L826" t="s">
        <v>9</v>
      </c>
      <c r="M826" t="s">
        <v>15</v>
      </c>
    </row>
    <row r="827" spans="2:13" x14ac:dyDescent="0.35">
      <c r="B827">
        <v>823</v>
      </c>
      <c r="C827">
        <v>3386</v>
      </c>
      <c r="D827" s="1">
        <v>42805</v>
      </c>
      <c r="E827" s="1">
        <v>42805</v>
      </c>
      <c r="F827" t="s">
        <v>30</v>
      </c>
      <c r="G827" t="s">
        <v>6</v>
      </c>
      <c r="H827">
        <v>600</v>
      </c>
      <c r="I827">
        <v>200</v>
      </c>
      <c r="J827">
        <v>15</v>
      </c>
      <c r="K827">
        <f>Claim[[#This Row],[Monto de prima]]-SUM(Claim[[#This Row],[Costo el reclamo]:[Costo de delivery]])</f>
        <v>385</v>
      </c>
      <c r="L827" t="s">
        <v>11</v>
      </c>
      <c r="M827" t="s">
        <v>18</v>
      </c>
    </row>
    <row r="828" spans="2:13" x14ac:dyDescent="0.35">
      <c r="B828">
        <v>824</v>
      </c>
      <c r="C828">
        <v>3376</v>
      </c>
      <c r="D828" s="1">
        <v>41284</v>
      </c>
      <c r="E828" s="1">
        <v>42337</v>
      </c>
      <c r="F828" t="s">
        <v>1</v>
      </c>
      <c r="G828" t="s">
        <v>5</v>
      </c>
      <c r="H828">
        <v>250</v>
      </c>
      <c r="I828">
        <v>450</v>
      </c>
      <c r="J828">
        <v>100</v>
      </c>
      <c r="K828">
        <f>Claim[[#This Row],[Monto de prima]]-SUM(Claim[[#This Row],[Costo el reclamo]:[Costo de delivery]])</f>
        <v>-300</v>
      </c>
      <c r="L828" t="s">
        <v>8</v>
      </c>
      <c r="M828" t="s">
        <v>17</v>
      </c>
    </row>
    <row r="829" spans="2:13" x14ac:dyDescent="0.35">
      <c r="B829">
        <v>825</v>
      </c>
      <c r="C829">
        <v>1150</v>
      </c>
      <c r="D829" s="1">
        <v>42820</v>
      </c>
      <c r="E829" s="1">
        <v>43541</v>
      </c>
      <c r="F829" t="s">
        <v>31</v>
      </c>
      <c r="G829" t="s">
        <v>5</v>
      </c>
      <c r="H829">
        <v>2000</v>
      </c>
      <c r="I829">
        <v>800</v>
      </c>
      <c r="J829">
        <v>25</v>
      </c>
      <c r="K829">
        <f>Claim[[#This Row],[Monto de prima]]-SUM(Claim[[#This Row],[Costo el reclamo]:[Costo de delivery]])</f>
        <v>1175</v>
      </c>
      <c r="L829" t="s">
        <v>7</v>
      </c>
      <c r="M829" t="s">
        <v>16</v>
      </c>
    </row>
    <row r="830" spans="2:13" x14ac:dyDescent="0.35">
      <c r="B830">
        <v>826</v>
      </c>
      <c r="C830">
        <v>1858</v>
      </c>
      <c r="D830" s="1">
        <v>42676</v>
      </c>
      <c r="E830" s="1">
        <v>43274</v>
      </c>
      <c r="F830" t="s">
        <v>31</v>
      </c>
      <c r="G830" t="s">
        <v>2</v>
      </c>
      <c r="H830">
        <v>2000</v>
      </c>
      <c r="I830">
        <v>800</v>
      </c>
      <c r="J830">
        <v>40</v>
      </c>
      <c r="K830">
        <f>Claim[[#This Row],[Monto de prima]]-SUM(Claim[[#This Row],[Costo el reclamo]:[Costo de delivery]])</f>
        <v>1160</v>
      </c>
      <c r="L830" t="s">
        <v>7</v>
      </c>
      <c r="M830" t="s">
        <v>16</v>
      </c>
    </row>
    <row r="831" spans="2:13" x14ac:dyDescent="0.35">
      <c r="B831">
        <v>827</v>
      </c>
      <c r="C831">
        <v>4983</v>
      </c>
      <c r="D831" s="1">
        <v>41128</v>
      </c>
      <c r="E831" s="1">
        <v>41233</v>
      </c>
      <c r="F831" t="s">
        <v>1</v>
      </c>
      <c r="G831" t="s">
        <v>2</v>
      </c>
      <c r="H831">
        <v>250</v>
      </c>
      <c r="I831">
        <v>450</v>
      </c>
      <c r="J831">
        <v>30</v>
      </c>
      <c r="K831">
        <f>Claim[[#This Row],[Monto de prima]]-SUM(Claim[[#This Row],[Costo el reclamo]:[Costo de delivery]])</f>
        <v>-230</v>
      </c>
      <c r="L831" t="s">
        <v>13</v>
      </c>
      <c r="M831" t="s">
        <v>14</v>
      </c>
    </row>
    <row r="832" spans="2:13" x14ac:dyDescent="0.35">
      <c r="B832">
        <v>828</v>
      </c>
      <c r="C832">
        <v>4645</v>
      </c>
      <c r="D832" s="1">
        <v>41287</v>
      </c>
      <c r="E832" s="1">
        <v>42656</v>
      </c>
      <c r="F832" t="s">
        <v>31</v>
      </c>
      <c r="G832" t="s">
        <v>3</v>
      </c>
      <c r="H832">
        <v>2000</v>
      </c>
      <c r="I832">
        <v>800</v>
      </c>
      <c r="J832">
        <v>30</v>
      </c>
      <c r="K832">
        <f>Claim[[#This Row],[Monto de prima]]-SUM(Claim[[#This Row],[Costo el reclamo]:[Costo de delivery]])</f>
        <v>1170</v>
      </c>
      <c r="L832" t="s">
        <v>9</v>
      </c>
      <c r="M832" t="s">
        <v>15</v>
      </c>
    </row>
    <row r="833" spans="2:13" x14ac:dyDescent="0.35">
      <c r="B833">
        <v>829</v>
      </c>
      <c r="C833">
        <v>3940</v>
      </c>
      <c r="D833" s="1">
        <v>41167</v>
      </c>
      <c r="E833" s="1">
        <v>43703</v>
      </c>
      <c r="F833" t="s">
        <v>31</v>
      </c>
      <c r="G833" t="s">
        <v>3</v>
      </c>
      <c r="H833">
        <v>2000</v>
      </c>
      <c r="I833">
        <v>800</v>
      </c>
      <c r="J833">
        <v>30</v>
      </c>
      <c r="K833">
        <f>Claim[[#This Row],[Monto de prima]]-SUM(Claim[[#This Row],[Costo el reclamo]:[Costo de delivery]])</f>
        <v>1170</v>
      </c>
      <c r="L833" t="s">
        <v>7</v>
      </c>
      <c r="M833" t="s">
        <v>16</v>
      </c>
    </row>
    <row r="834" spans="2:13" x14ac:dyDescent="0.35">
      <c r="B834">
        <v>830</v>
      </c>
      <c r="C834">
        <v>4487</v>
      </c>
      <c r="D834" s="1">
        <v>42749</v>
      </c>
      <c r="E834" s="1">
        <v>42749</v>
      </c>
      <c r="F834" t="s">
        <v>4</v>
      </c>
      <c r="G834" t="s">
        <v>2</v>
      </c>
      <c r="H834">
        <v>1000</v>
      </c>
      <c r="I834">
        <v>550</v>
      </c>
      <c r="J834">
        <v>50</v>
      </c>
      <c r="K834">
        <f>Claim[[#This Row],[Monto de prima]]-SUM(Claim[[#This Row],[Costo el reclamo]:[Costo de delivery]])</f>
        <v>400</v>
      </c>
      <c r="L834" t="s">
        <v>9</v>
      </c>
      <c r="M834" t="s">
        <v>15</v>
      </c>
    </row>
    <row r="835" spans="2:13" x14ac:dyDescent="0.35">
      <c r="B835">
        <v>831</v>
      </c>
      <c r="C835">
        <v>2967</v>
      </c>
      <c r="D835" s="1">
        <v>40332</v>
      </c>
      <c r="E835" s="1">
        <v>41279</v>
      </c>
      <c r="F835" t="s">
        <v>31</v>
      </c>
      <c r="G835" t="s">
        <v>5</v>
      </c>
      <c r="H835">
        <v>2000</v>
      </c>
      <c r="I835">
        <v>800</v>
      </c>
      <c r="J835">
        <v>25</v>
      </c>
      <c r="K835">
        <f>Claim[[#This Row],[Monto de prima]]-SUM(Claim[[#This Row],[Costo el reclamo]:[Costo de delivery]])</f>
        <v>1175</v>
      </c>
      <c r="L835" t="s">
        <v>13</v>
      </c>
      <c r="M835" t="s">
        <v>14</v>
      </c>
    </row>
    <row r="836" spans="2:13" x14ac:dyDescent="0.35">
      <c r="B836">
        <v>832</v>
      </c>
      <c r="C836">
        <v>2248</v>
      </c>
      <c r="D836" s="1">
        <v>42258</v>
      </c>
      <c r="E836" s="1">
        <v>42768</v>
      </c>
      <c r="F836" t="s">
        <v>4</v>
      </c>
      <c r="G836" t="s">
        <v>6</v>
      </c>
      <c r="H836">
        <v>1000</v>
      </c>
      <c r="I836">
        <v>550</v>
      </c>
      <c r="J836">
        <v>30</v>
      </c>
      <c r="K836">
        <f>Claim[[#This Row],[Monto de prima]]-SUM(Claim[[#This Row],[Costo el reclamo]:[Costo de delivery]])</f>
        <v>420</v>
      </c>
      <c r="L836" t="s">
        <v>10</v>
      </c>
      <c r="M836" t="s">
        <v>16</v>
      </c>
    </row>
    <row r="837" spans="2:13" x14ac:dyDescent="0.35">
      <c r="B837">
        <v>833</v>
      </c>
      <c r="C837">
        <v>3632</v>
      </c>
      <c r="D837" s="1">
        <v>40483</v>
      </c>
      <c r="E837" s="1">
        <v>43457</v>
      </c>
      <c r="F837" t="s">
        <v>4</v>
      </c>
      <c r="G837" t="s">
        <v>2</v>
      </c>
      <c r="H837">
        <v>1000</v>
      </c>
      <c r="I837">
        <v>550</v>
      </c>
      <c r="J837">
        <v>50</v>
      </c>
      <c r="K837">
        <f>Claim[[#This Row],[Monto de prima]]-SUM(Claim[[#This Row],[Costo el reclamo]:[Costo de delivery]])</f>
        <v>400</v>
      </c>
      <c r="L837" t="s">
        <v>11</v>
      </c>
      <c r="M837" t="s">
        <v>18</v>
      </c>
    </row>
    <row r="838" spans="2:13" x14ac:dyDescent="0.35">
      <c r="B838">
        <v>834</v>
      </c>
      <c r="C838">
        <v>2755</v>
      </c>
      <c r="D838" s="1">
        <v>43015</v>
      </c>
      <c r="E838" s="1">
        <v>43015</v>
      </c>
      <c r="F838" t="s">
        <v>31</v>
      </c>
      <c r="G838" t="s">
        <v>3</v>
      </c>
      <c r="H838">
        <v>2000</v>
      </c>
      <c r="I838">
        <v>800</v>
      </c>
      <c r="J838">
        <v>30</v>
      </c>
      <c r="K838">
        <f>Claim[[#This Row],[Monto de prima]]-SUM(Claim[[#This Row],[Costo el reclamo]:[Costo de delivery]])</f>
        <v>1170</v>
      </c>
      <c r="L838" t="s">
        <v>8</v>
      </c>
      <c r="M838" t="s">
        <v>17</v>
      </c>
    </row>
    <row r="839" spans="2:13" x14ac:dyDescent="0.35">
      <c r="B839">
        <v>835</v>
      </c>
      <c r="C839">
        <v>2794</v>
      </c>
      <c r="D839" s="1">
        <v>40592</v>
      </c>
      <c r="E839" s="1">
        <v>41973</v>
      </c>
      <c r="F839" t="s">
        <v>4</v>
      </c>
      <c r="G839" t="s">
        <v>3</v>
      </c>
      <c r="H839">
        <v>1000</v>
      </c>
      <c r="I839">
        <v>550</v>
      </c>
      <c r="J839">
        <v>80</v>
      </c>
      <c r="K839">
        <f>Claim[[#This Row],[Monto de prima]]-SUM(Claim[[#This Row],[Costo el reclamo]:[Costo de delivery]])</f>
        <v>370</v>
      </c>
      <c r="L839" t="s">
        <v>11</v>
      </c>
      <c r="M839" t="s">
        <v>18</v>
      </c>
    </row>
    <row r="840" spans="2:13" x14ac:dyDescent="0.35">
      <c r="B840">
        <v>836</v>
      </c>
      <c r="C840">
        <v>1483</v>
      </c>
      <c r="D840" s="1">
        <v>41070</v>
      </c>
      <c r="E840" s="1">
        <v>42457</v>
      </c>
      <c r="F840" t="s">
        <v>31</v>
      </c>
      <c r="G840" t="s">
        <v>6</v>
      </c>
      <c r="H840">
        <v>2000</v>
      </c>
      <c r="I840">
        <v>800</v>
      </c>
      <c r="J840">
        <v>20</v>
      </c>
      <c r="K840">
        <f>Claim[[#This Row],[Monto de prima]]-SUM(Claim[[#This Row],[Costo el reclamo]:[Costo de delivery]])</f>
        <v>1180</v>
      </c>
      <c r="L840" t="s">
        <v>13</v>
      </c>
      <c r="M840" t="s">
        <v>14</v>
      </c>
    </row>
    <row r="841" spans="2:13" x14ac:dyDescent="0.35">
      <c r="B841">
        <v>837</v>
      </c>
      <c r="C841">
        <v>1789</v>
      </c>
      <c r="D841" s="1">
        <v>41182</v>
      </c>
      <c r="E841" s="1">
        <v>42162</v>
      </c>
      <c r="F841" t="s">
        <v>1</v>
      </c>
      <c r="G841" t="s">
        <v>2</v>
      </c>
      <c r="H841">
        <v>250</v>
      </c>
      <c r="I841">
        <v>450</v>
      </c>
      <c r="J841">
        <v>30</v>
      </c>
      <c r="K841">
        <f>Claim[[#This Row],[Monto de prima]]-SUM(Claim[[#This Row],[Costo el reclamo]:[Costo de delivery]])</f>
        <v>-230</v>
      </c>
      <c r="L841" t="s">
        <v>8</v>
      </c>
      <c r="M841" t="s">
        <v>17</v>
      </c>
    </row>
    <row r="842" spans="2:13" x14ac:dyDescent="0.35">
      <c r="B842">
        <v>838</v>
      </c>
      <c r="C842">
        <v>2348</v>
      </c>
      <c r="D842" s="1">
        <v>41623</v>
      </c>
      <c r="E842" s="1">
        <v>42856</v>
      </c>
      <c r="F842" t="s">
        <v>1</v>
      </c>
      <c r="G842" t="s">
        <v>3</v>
      </c>
      <c r="H842">
        <v>250</v>
      </c>
      <c r="I842">
        <v>450</v>
      </c>
      <c r="J842">
        <v>80</v>
      </c>
      <c r="K842">
        <f>Claim[[#This Row],[Monto de prima]]-SUM(Claim[[#This Row],[Costo el reclamo]:[Costo de delivery]])</f>
        <v>-280</v>
      </c>
      <c r="L842" t="s">
        <v>9</v>
      </c>
      <c r="M842" t="s">
        <v>15</v>
      </c>
    </row>
    <row r="843" spans="2:13" x14ac:dyDescent="0.35">
      <c r="B843">
        <v>839</v>
      </c>
      <c r="C843">
        <v>2908</v>
      </c>
      <c r="D843" s="1">
        <v>41103</v>
      </c>
      <c r="E843" s="1">
        <v>43847</v>
      </c>
      <c r="F843" t="s">
        <v>31</v>
      </c>
      <c r="G843" t="s">
        <v>6</v>
      </c>
      <c r="H843">
        <v>2000</v>
      </c>
      <c r="I843">
        <v>800</v>
      </c>
      <c r="J843">
        <v>20</v>
      </c>
      <c r="K843">
        <f>Claim[[#This Row],[Monto de prima]]-SUM(Claim[[#This Row],[Costo el reclamo]:[Costo de delivery]])</f>
        <v>1180</v>
      </c>
      <c r="L843" t="s">
        <v>12</v>
      </c>
      <c r="M843" t="s">
        <v>19</v>
      </c>
    </row>
    <row r="844" spans="2:13" x14ac:dyDescent="0.35">
      <c r="B844">
        <v>840</v>
      </c>
      <c r="C844">
        <v>2978</v>
      </c>
      <c r="D844" s="1">
        <v>41597</v>
      </c>
      <c r="E844" s="1">
        <v>43000</v>
      </c>
      <c r="F844" t="s">
        <v>4</v>
      </c>
      <c r="G844" t="s">
        <v>5</v>
      </c>
      <c r="H844">
        <v>1000</v>
      </c>
      <c r="I844">
        <v>550</v>
      </c>
      <c r="J844">
        <v>50</v>
      </c>
      <c r="K844">
        <f>Claim[[#This Row],[Monto de prima]]-SUM(Claim[[#This Row],[Costo el reclamo]:[Costo de delivery]])</f>
        <v>400</v>
      </c>
      <c r="L844" t="s">
        <v>7</v>
      </c>
      <c r="M844" t="s">
        <v>16</v>
      </c>
    </row>
    <row r="845" spans="2:13" x14ac:dyDescent="0.35">
      <c r="B845">
        <v>841</v>
      </c>
      <c r="C845">
        <v>2189</v>
      </c>
      <c r="D845" s="1">
        <v>41188</v>
      </c>
      <c r="E845" s="1">
        <v>43244</v>
      </c>
      <c r="F845" t="s">
        <v>4</v>
      </c>
      <c r="G845" t="s">
        <v>3</v>
      </c>
      <c r="H845">
        <v>1000</v>
      </c>
      <c r="I845">
        <v>550</v>
      </c>
      <c r="J845">
        <v>80</v>
      </c>
      <c r="K845">
        <f>Claim[[#This Row],[Monto de prima]]-SUM(Claim[[#This Row],[Costo el reclamo]:[Costo de delivery]])</f>
        <v>370</v>
      </c>
      <c r="L845" t="s">
        <v>11</v>
      </c>
      <c r="M845" t="s">
        <v>18</v>
      </c>
    </row>
    <row r="846" spans="2:13" x14ac:dyDescent="0.35">
      <c r="B846">
        <v>842</v>
      </c>
      <c r="C846">
        <v>1765</v>
      </c>
      <c r="D846" s="1">
        <v>40762</v>
      </c>
      <c r="E846" s="1">
        <v>43042</v>
      </c>
      <c r="F846" t="s">
        <v>31</v>
      </c>
      <c r="G846" t="s">
        <v>2</v>
      </c>
      <c r="H846">
        <v>2000</v>
      </c>
      <c r="I846">
        <v>800</v>
      </c>
      <c r="J846">
        <v>40</v>
      </c>
      <c r="K846">
        <f>Claim[[#This Row],[Monto de prima]]-SUM(Claim[[#This Row],[Costo el reclamo]:[Costo de delivery]])</f>
        <v>1160</v>
      </c>
      <c r="L846" t="s">
        <v>12</v>
      </c>
      <c r="M846" t="s">
        <v>19</v>
      </c>
    </row>
    <row r="847" spans="2:13" x14ac:dyDescent="0.35">
      <c r="B847">
        <v>843</v>
      </c>
      <c r="C847">
        <v>1872</v>
      </c>
      <c r="D847" s="1">
        <v>41561</v>
      </c>
      <c r="E847" s="1">
        <v>43057</v>
      </c>
      <c r="F847" t="s">
        <v>31</v>
      </c>
      <c r="G847" t="s">
        <v>2</v>
      </c>
      <c r="H847">
        <v>2000</v>
      </c>
      <c r="I847">
        <v>800</v>
      </c>
      <c r="J847">
        <v>40</v>
      </c>
      <c r="K847">
        <f>Claim[[#This Row],[Monto de prima]]-SUM(Claim[[#This Row],[Costo el reclamo]:[Costo de delivery]])</f>
        <v>1160</v>
      </c>
      <c r="L847" t="s">
        <v>10</v>
      </c>
      <c r="M847" t="s">
        <v>16</v>
      </c>
    </row>
    <row r="848" spans="2:13" x14ac:dyDescent="0.35">
      <c r="B848">
        <v>844</v>
      </c>
      <c r="C848">
        <v>2088</v>
      </c>
      <c r="D848" s="1">
        <v>41790</v>
      </c>
      <c r="E848" s="1">
        <v>43179</v>
      </c>
      <c r="F848" t="s">
        <v>4</v>
      </c>
      <c r="G848" t="s">
        <v>2</v>
      </c>
      <c r="H848">
        <v>1000</v>
      </c>
      <c r="I848">
        <v>550</v>
      </c>
      <c r="J848">
        <v>50</v>
      </c>
      <c r="K848">
        <f>Claim[[#This Row],[Monto de prima]]-SUM(Claim[[#This Row],[Costo el reclamo]:[Costo de delivery]])</f>
        <v>400</v>
      </c>
      <c r="L848" t="s">
        <v>9</v>
      </c>
      <c r="M848" t="s">
        <v>15</v>
      </c>
    </row>
    <row r="849" spans="2:13" x14ac:dyDescent="0.35">
      <c r="B849">
        <v>845</v>
      </c>
      <c r="C849">
        <v>1206</v>
      </c>
      <c r="D849" s="1">
        <v>40813</v>
      </c>
      <c r="E849" s="1">
        <v>41217</v>
      </c>
      <c r="F849" t="s">
        <v>30</v>
      </c>
      <c r="G849" t="s">
        <v>5</v>
      </c>
      <c r="H849">
        <v>600</v>
      </c>
      <c r="I849">
        <v>200</v>
      </c>
      <c r="J849">
        <v>50</v>
      </c>
      <c r="K849">
        <f>Claim[[#This Row],[Monto de prima]]-SUM(Claim[[#This Row],[Costo el reclamo]:[Costo de delivery]])</f>
        <v>350</v>
      </c>
      <c r="L849" t="s">
        <v>11</v>
      </c>
      <c r="M849" t="s">
        <v>18</v>
      </c>
    </row>
    <row r="850" spans="2:13" x14ac:dyDescent="0.35">
      <c r="B850">
        <v>846</v>
      </c>
      <c r="C850">
        <v>2682</v>
      </c>
      <c r="D850" s="1">
        <v>42898</v>
      </c>
      <c r="E850" s="1">
        <v>43239</v>
      </c>
      <c r="F850" t="s">
        <v>1</v>
      </c>
      <c r="G850" t="s">
        <v>3</v>
      </c>
      <c r="H850">
        <v>250</v>
      </c>
      <c r="I850">
        <v>450</v>
      </c>
      <c r="J850">
        <v>80</v>
      </c>
      <c r="K850">
        <f>Claim[[#This Row],[Monto de prima]]-SUM(Claim[[#This Row],[Costo el reclamo]:[Costo de delivery]])</f>
        <v>-280</v>
      </c>
      <c r="L850" t="s">
        <v>10</v>
      </c>
      <c r="M850" t="s">
        <v>16</v>
      </c>
    </row>
    <row r="851" spans="2:13" x14ac:dyDescent="0.35">
      <c r="B851">
        <v>847</v>
      </c>
      <c r="C851">
        <v>4915</v>
      </c>
      <c r="D851" s="1">
        <v>42054</v>
      </c>
      <c r="E851" s="1">
        <v>42191</v>
      </c>
      <c r="F851" t="s">
        <v>1</v>
      </c>
      <c r="G851" t="s">
        <v>3</v>
      </c>
      <c r="H851">
        <v>250</v>
      </c>
      <c r="I851">
        <v>450</v>
      </c>
      <c r="J851">
        <v>80</v>
      </c>
      <c r="K851">
        <f>Claim[[#This Row],[Monto de prima]]-SUM(Claim[[#This Row],[Costo el reclamo]:[Costo de delivery]])</f>
        <v>-280</v>
      </c>
      <c r="L851" t="s">
        <v>12</v>
      </c>
      <c r="M851" t="s">
        <v>19</v>
      </c>
    </row>
    <row r="852" spans="2:13" x14ac:dyDescent="0.35">
      <c r="B852">
        <v>848</v>
      </c>
      <c r="C852">
        <v>2004</v>
      </c>
      <c r="D852" s="1">
        <v>41942</v>
      </c>
      <c r="E852" s="1">
        <v>42364</v>
      </c>
      <c r="F852" t="s">
        <v>30</v>
      </c>
      <c r="G852" t="s">
        <v>2</v>
      </c>
      <c r="H852">
        <v>600</v>
      </c>
      <c r="I852">
        <v>200</v>
      </c>
      <c r="J852">
        <v>35</v>
      </c>
      <c r="K852">
        <f>Claim[[#This Row],[Monto de prima]]-SUM(Claim[[#This Row],[Costo el reclamo]:[Costo de delivery]])</f>
        <v>365</v>
      </c>
      <c r="L852" t="s">
        <v>7</v>
      </c>
      <c r="M852" t="s">
        <v>16</v>
      </c>
    </row>
    <row r="853" spans="2:13" x14ac:dyDescent="0.35">
      <c r="B853">
        <v>849</v>
      </c>
      <c r="C853">
        <v>4634</v>
      </c>
      <c r="D853" s="1">
        <v>42559</v>
      </c>
      <c r="E853" s="1">
        <v>43569</v>
      </c>
      <c r="F853" t="s">
        <v>1</v>
      </c>
      <c r="G853" t="s">
        <v>6</v>
      </c>
      <c r="H853">
        <v>250</v>
      </c>
      <c r="I853">
        <v>450</v>
      </c>
      <c r="J853">
        <v>50</v>
      </c>
      <c r="K853">
        <f>Claim[[#This Row],[Monto de prima]]-SUM(Claim[[#This Row],[Costo el reclamo]:[Costo de delivery]])</f>
        <v>-250</v>
      </c>
      <c r="L853" t="s">
        <v>10</v>
      </c>
      <c r="M853" t="s">
        <v>16</v>
      </c>
    </row>
    <row r="854" spans="2:13" x14ac:dyDescent="0.35">
      <c r="B854">
        <v>850</v>
      </c>
      <c r="C854">
        <v>3860</v>
      </c>
      <c r="D854" s="1">
        <v>41152</v>
      </c>
      <c r="E854" s="1">
        <v>43087</v>
      </c>
      <c r="F854" t="s">
        <v>31</v>
      </c>
      <c r="G854" t="s">
        <v>6</v>
      </c>
      <c r="H854">
        <v>2000</v>
      </c>
      <c r="I854">
        <v>800</v>
      </c>
      <c r="J854">
        <v>20</v>
      </c>
      <c r="K854">
        <f>Claim[[#This Row],[Monto de prima]]-SUM(Claim[[#This Row],[Costo el reclamo]:[Costo de delivery]])</f>
        <v>1180</v>
      </c>
      <c r="L854" t="s">
        <v>10</v>
      </c>
      <c r="M854" t="s">
        <v>16</v>
      </c>
    </row>
    <row r="855" spans="2:13" x14ac:dyDescent="0.35">
      <c r="B855">
        <v>851</v>
      </c>
      <c r="C855">
        <v>2621</v>
      </c>
      <c r="D855" s="1">
        <v>42079</v>
      </c>
      <c r="E855" s="1">
        <v>42079</v>
      </c>
      <c r="F855" t="s">
        <v>31</v>
      </c>
      <c r="G855" t="s">
        <v>3</v>
      </c>
      <c r="H855">
        <v>2000</v>
      </c>
      <c r="I855">
        <v>800</v>
      </c>
      <c r="J855">
        <v>30</v>
      </c>
      <c r="K855">
        <f>Claim[[#This Row],[Monto de prima]]-SUM(Claim[[#This Row],[Costo el reclamo]:[Costo de delivery]])</f>
        <v>1170</v>
      </c>
      <c r="L855" t="s">
        <v>13</v>
      </c>
      <c r="M855" t="s">
        <v>14</v>
      </c>
    </row>
    <row r="856" spans="2:13" x14ac:dyDescent="0.35">
      <c r="B856">
        <v>852</v>
      </c>
      <c r="C856">
        <v>4667</v>
      </c>
      <c r="D856" s="1">
        <v>42823</v>
      </c>
      <c r="E856" s="1">
        <v>42823</v>
      </c>
      <c r="F856" t="s">
        <v>4</v>
      </c>
      <c r="G856" t="s">
        <v>5</v>
      </c>
      <c r="H856">
        <v>1000</v>
      </c>
      <c r="I856">
        <v>550</v>
      </c>
      <c r="J856">
        <v>50</v>
      </c>
      <c r="K856">
        <f>Claim[[#This Row],[Monto de prima]]-SUM(Claim[[#This Row],[Costo el reclamo]:[Costo de delivery]])</f>
        <v>400</v>
      </c>
      <c r="L856" t="s">
        <v>8</v>
      </c>
      <c r="M856" t="s">
        <v>17</v>
      </c>
    </row>
    <row r="857" spans="2:13" x14ac:dyDescent="0.35">
      <c r="B857">
        <v>853</v>
      </c>
      <c r="C857">
        <v>4179</v>
      </c>
      <c r="D857" s="1">
        <v>41788</v>
      </c>
      <c r="E857" s="1">
        <v>42566</v>
      </c>
      <c r="F857" t="s">
        <v>30</v>
      </c>
      <c r="G857" t="s">
        <v>5</v>
      </c>
      <c r="H857">
        <v>600</v>
      </c>
      <c r="I857">
        <v>200</v>
      </c>
      <c r="J857">
        <v>50</v>
      </c>
      <c r="K857">
        <f>Claim[[#This Row],[Monto de prima]]-SUM(Claim[[#This Row],[Costo el reclamo]:[Costo de delivery]])</f>
        <v>350</v>
      </c>
      <c r="L857" t="s">
        <v>10</v>
      </c>
      <c r="M857" t="s">
        <v>16</v>
      </c>
    </row>
    <row r="858" spans="2:13" x14ac:dyDescent="0.35">
      <c r="B858">
        <v>854</v>
      </c>
      <c r="C858">
        <v>3700</v>
      </c>
      <c r="D858" s="1">
        <v>42927</v>
      </c>
      <c r="E858" s="1">
        <v>42927</v>
      </c>
      <c r="F858" t="s">
        <v>30</v>
      </c>
      <c r="G858" t="s">
        <v>3</v>
      </c>
      <c r="H858">
        <v>600</v>
      </c>
      <c r="I858">
        <v>200</v>
      </c>
      <c r="J858">
        <v>20</v>
      </c>
      <c r="K858">
        <f>Claim[[#This Row],[Monto de prima]]-SUM(Claim[[#This Row],[Costo el reclamo]:[Costo de delivery]])</f>
        <v>380</v>
      </c>
      <c r="L858" t="s">
        <v>9</v>
      </c>
      <c r="M858" t="s">
        <v>15</v>
      </c>
    </row>
    <row r="859" spans="2:13" x14ac:dyDescent="0.35">
      <c r="B859">
        <v>855</v>
      </c>
      <c r="C859">
        <v>4616</v>
      </c>
      <c r="D859" s="1">
        <v>40425</v>
      </c>
      <c r="E859" s="1">
        <v>41064</v>
      </c>
      <c r="F859" t="s">
        <v>31</v>
      </c>
      <c r="G859" t="s">
        <v>6</v>
      </c>
      <c r="H859">
        <v>2000</v>
      </c>
      <c r="I859">
        <v>800</v>
      </c>
      <c r="J859">
        <v>20</v>
      </c>
      <c r="K859">
        <f>Claim[[#This Row],[Monto de prima]]-SUM(Claim[[#This Row],[Costo el reclamo]:[Costo de delivery]])</f>
        <v>1180</v>
      </c>
      <c r="L859" t="s">
        <v>13</v>
      </c>
      <c r="M859" t="s">
        <v>14</v>
      </c>
    </row>
    <row r="860" spans="2:13" x14ac:dyDescent="0.35">
      <c r="B860">
        <v>856</v>
      </c>
      <c r="C860">
        <v>3448</v>
      </c>
      <c r="D860" s="1">
        <v>42770</v>
      </c>
      <c r="E860" s="1">
        <v>43406</v>
      </c>
      <c r="F860" t="s">
        <v>31</v>
      </c>
      <c r="G860" t="s">
        <v>5</v>
      </c>
      <c r="H860">
        <v>2000</v>
      </c>
      <c r="I860">
        <v>800</v>
      </c>
      <c r="J860">
        <v>25</v>
      </c>
      <c r="K860">
        <f>Claim[[#This Row],[Monto de prima]]-SUM(Claim[[#This Row],[Costo el reclamo]:[Costo de delivery]])</f>
        <v>1175</v>
      </c>
      <c r="L860" t="s">
        <v>7</v>
      </c>
      <c r="M860" t="s">
        <v>16</v>
      </c>
    </row>
    <row r="861" spans="2:13" x14ac:dyDescent="0.35">
      <c r="B861">
        <v>857</v>
      </c>
      <c r="C861">
        <v>3658</v>
      </c>
      <c r="D861" s="1">
        <v>42061</v>
      </c>
      <c r="E861" s="1">
        <v>42061</v>
      </c>
      <c r="F861" t="s">
        <v>4</v>
      </c>
      <c r="G861" t="s">
        <v>3</v>
      </c>
      <c r="H861">
        <v>1000</v>
      </c>
      <c r="I861">
        <v>550</v>
      </c>
      <c r="J861">
        <v>80</v>
      </c>
      <c r="K861">
        <f>Claim[[#This Row],[Monto de prima]]-SUM(Claim[[#This Row],[Costo el reclamo]:[Costo de delivery]])</f>
        <v>370</v>
      </c>
      <c r="L861" t="s">
        <v>7</v>
      </c>
      <c r="M861" t="s">
        <v>16</v>
      </c>
    </row>
    <row r="862" spans="2:13" x14ac:dyDescent="0.35">
      <c r="B862">
        <v>858</v>
      </c>
      <c r="C862">
        <v>1548</v>
      </c>
      <c r="D862" s="1">
        <v>42501</v>
      </c>
      <c r="E862" s="1">
        <v>43391</v>
      </c>
      <c r="F862" t="s">
        <v>30</v>
      </c>
      <c r="G862" t="s">
        <v>3</v>
      </c>
      <c r="H862">
        <v>600</v>
      </c>
      <c r="I862">
        <v>200</v>
      </c>
      <c r="J862">
        <v>20</v>
      </c>
      <c r="K862">
        <f>Claim[[#This Row],[Monto de prima]]-SUM(Claim[[#This Row],[Costo el reclamo]:[Costo de delivery]])</f>
        <v>380</v>
      </c>
      <c r="L862" t="s">
        <v>7</v>
      </c>
      <c r="M862" t="s">
        <v>16</v>
      </c>
    </row>
    <row r="863" spans="2:13" x14ac:dyDescent="0.35">
      <c r="B863">
        <v>859</v>
      </c>
      <c r="C863">
        <v>1881</v>
      </c>
      <c r="D863" s="1">
        <v>42442</v>
      </c>
      <c r="E863" s="1">
        <v>42442</v>
      </c>
      <c r="F863" t="s">
        <v>1</v>
      </c>
      <c r="G863" t="s">
        <v>6</v>
      </c>
      <c r="H863">
        <v>250</v>
      </c>
      <c r="I863">
        <v>450</v>
      </c>
      <c r="J863">
        <v>50</v>
      </c>
      <c r="K863">
        <f>Claim[[#This Row],[Monto de prima]]-SUM(Claim[[#This Row],[Costo el reclamo]:[Costo de delivery]])</f>
        <v>-250</v>
      </c>
      <c r="L863" t="s">
        <v>10</v>
      </c>
      <c r="M863" t="s">
        <v>16</v>
      </c>
    </row>
    <row r="864" spans="2:13" x14ac:dyDescent="0.35">
      <c r="B864">
        <v>860</v>
      </c>
      <c r="C864">
        <v>3122</v>
      </c>
      <c r="D864" s="1">
        <v>42161</v>
      </c>
      <c r="E864" s="1">
        <v>42161</v>
      </c>
      <c r="F864" t="s">
        <v>4</v>
      </c>
      <c r="G864" t="s">
        <v>5</v>
      </c>
      <c r="H864">
        <v>1000</v>
      </c>
      <c r="I864">
        <v>550</v>
      </c>
      <c r="J864">
        <v>50</v>
      </c>
      <c r="K864">
        <f>Claim[[#This Row],[Monto de prima]]-SUM(Claim[[#This Row],[Costo el reclamo]:[Costo de delivery]])</f>
        <v>400</v>
      </c>
      <c r="L864" t="s">
        <v>12</v>
      </c>
      <c r="M864" t="s">
        <v>19</v>
      </c>
    </row>
    <row r="865" spans="2:13" x14ac:dyDescent="0.35">
      <c r="B865">
        <v>861</v>
      </c>
      <c r="C865">
        <v>4222</v>
      </c>
      <c r="D865" s="1">
        <v>43123</v>
      </c>
      <c r="E865" s="1">
        <v>43123</v>
      </c>
      <c r="F865" t="s">
        <v>4</v>
      </c>
      <c r="G865" t="s">
        <v>6</v>
      </c>
      <c r="H865">
        <v>1000</v>
      </c>
      <c r="I865">
        <v>550</v>
      </c>
      <c r="J865">
        <v>30</v>
      </c>
      <c r="K865">
        <f>Claim[[#This Row],[Monto de prima]]-SUM(Claim[[#This Row],[Costo el reclamo]:[Costo de delivery]])</f>
        <v>420</v>
      </c>
      <c r="L865" t="s">
        <v>10</v>
      </c>
      <c r="M865" t="s">
        <v>16</v>
      </c>
    </row>
    <row r="866" spans="2:13" x14ac:dyDescent="0.35">
      <c r="B866">
        <v>862</v>
      </c>
      <c r="C866">
        <v>4700</v>
      </c>
      <c r="D866" s="1">
        <v>40627</v>
      </c>
      <c r="E866" s="1">
        <v>43464</v>
      </c>
      <c r="F866" t="s">
        <v>30</v>
      </c>
      <c r="G866" t="s">
        <v>5</v>
      </c>
      <c r="H866">
        <v>600</v>
      </c>
      <c r="I866">
        <v>200</v>
      </c>
      <c r="J866">
        <v>50</v>
      </c>
      <c r="K866">
        <f>Claim[[#This Row],[Monto de prima]]-SUM(Claim[[#This Row],[Costo el reclamo]:[Costo de delivery]])</f>
        <v>350</v>
      </c>
      <c r="L866" t="s">
        <v>9</v>
      </c>
      <c r="M866" t="s">
        <v>15</v>
      </c>
    </row>
    <row r="867" spans="2:13" x14ac:dyDescent="0.35">
      <c r="B867">
        <v>863</v>
      </c>
      <c r="C867">
        <v>4625</v>
      </c>
      <c r="D867" s="1">
        <v>40953</v>
      </c>
      <c r="E867" s="1">
        <v>41779</v>
      </c>
      <c r="F867" t="s">
        <v>31</v>
      </c>
      <c r="G867" t="s">
        <v>6</v>
      </c>
      <c r="H867">
        <v>2000</v>
      </c>
      <c r="I867">
        <v>800</v>
      </c>
      <c r="J867">
        <v>20</v>
      </c>
      <c r="K867">
        <f>Claim[[#This Row],[Monto de prima]]-SUM(Claim[[#This Row],[Costo el reclamo]:[Costo de delivery]])</f>
        <v>1180</v>
      </c>
      <c r="L867" t="s">
        <v>12</v>
      </c>
      <c r="M867" t="s">
        <v>19</v>
      </c>
    </row>
    <row r="868" spans="2:13" x14ac:dyDescent="0.35">
      <c r="B868">
        <v>864</v>
      </c>
      <c r="C868">
        <v>1946</v>
      </c>
      <c r="D868" s="1">
        <v>42179</v>
      </c>
      <c r="E868" s="1">
        <v>42480</v>
      </c>
      <c r="F868" t="s">
        <v>1</v>
      </c>
      <c r="G868" t="s">
        <v>6</v>
      </c>
      <c r="H868">
        <v>250</v>
      </c>
      <c r="I868">
        <v>450</v>
      </c>
      <c r="J868">
        <v>50</v>
      </c>
      <c r="K868">
        <f>Claim[[#This Row],[Monto de prima]]-SUM(Claim[[#This Row],[Costo el reclamo]:[Costo de delivery]])</f>
        <v>-250</v>
      </c>
      <c r="L868" t="s">
        <v>11</v>
      </c>
      <c r="M868" t="s">
        <v>18</v>
      </c>
    </row>
    <row r="869" spans="2:13" x14ac:dyDescent="0.35">
      <c r="B869">
        <v>865</v>
      </c>
      <c r="C869">
        <v>2808</v>
      </c>
      <c r="D869" s="1">
        <v>40650</v>
      </c>
      <c r="E869" s="1">
        <v>43230</v>
      </c>
      <c r="F869" t="s">
        <v>4</v>
      </c>
      <c r="G869" t="s">
        <v>6</v>
      </c>
      <c r="H869">
        <v>1000</v>
      </c>
      <c r="I869">
        <v>550</v>
      </c>
      <c r="J869">
        <v>30</v>
      </c>
      <c r="K869">
        <f>Claim[[#This Row],[Monto de prima]]-SUM(Claim[[#This Row],[Costo el reclamo]:[Costo de delivery]])</f>
        <v>420</v>
      </c>
      <c r="L869" t="s">
        <v>9</v>
      </c>
      <c r="M869" t="s">
        <v>15</v>
      </c>
    </row>
    <row r="870" spans="2:13" x14ac:dyDescent="0.35">
      <c r="B870">
        <v>866</v>
      </c>
      <c r="C870">
        <v>2782</v>
      </c>
      <c r="D870" s="1">
        <v>40602</v>
      </c>
      <c r="E870" s="1">
        <v>43004</v>
      </c>
      <c r="F870" t="s">
        <v>1</v>
      </c>
      <c r="G870" t="s">
        <v>3</v>
      </c>
      <c r="H870">
        <v>250</v>
      </c>
      <c r="I870">
        <v>450</v>
      </c>
      <c r="J870">
        <v>80</v>
      </c>
      <c r="K870">
        <f>Claim[[#This Row],[Monto de prima]]-SUM(Claim[[#This Row],[Costo el reclamo]:[Costo de delivery]])</f>
        <v>-280</v>
      </c>
      <c r="L870" t="s">
        <v>7</v>
      </c>
      <c r="M870" t="s">
        <v>16</v>
      </c>
    </row>
    <row r="871" spans="2:13" x14ac:dyDescent="0.35">
      <c r="B871">
        <v>867</v>
      </c>
      <c r="C871">
        <v>2482</v>
      </c>
      <c r="D871" s="1">
        <v>40637</v>
      </c>
      <c r="E871" s="1">
        <v>42378</v>
      </c>
      <c r="F871" t="s">
        <v>1</v>
      </c>
      <c r="G871" t="s">
        <v>6</v>
      </c>
      <c r="H871">
        <v>250</v>
      </c>
      <c r="I871">
        <v>450</v>
      </c>
      <c r="J871">
        <v>50</v>
      </c>
      <c r="K871">
        <f>Claim[[#This Row],[Monto de prima]]-SUM(Claim[[#This Row],[Costo el reclamo]:[Costo de delivery]])</f>
        <v>-250</v>
      </c>
      <c r="L871" t="s">
        <v>9</v>
      </c>
      <c r="M871" t="s">
        <v>15</v>
      </c>
    </row>
    <row r="872" spans="2:13" x14ac:dyDescent="0.35">
      <c r="B872">
        <v>868</v>
      </c>
      <c r="C872">
        <v>3641</v>
      </c>
      <c r="D872" s="1">
        <v>42216</v>
      </c>
      <c r="E872" s="1">
        <v>43066</v>
      </c>
      <c r="F872" t="s">
        <v>1</v>
      </c>
      <c r="G872" t="s">
        <v>5</v>
      </c>
      <c r="H872">
        <v>250</v>
      </c>
      <c r="I872">
        <v>450</v>
      </c>
      <c r="J872">
        <v>100</v>
      </c>
      <c r="K872">
        <f>Claim[[#This Row],[Monto de prima]]-SUM(Claim[[#This Row],[Costo el reclamo]:[Costo de delivery]])</f>
        <v>-300</v>
      </c>
      <c r="L872" t="s">
        <v>9</v>
      </c>
      <c r="M872" t="s">
        <v>15</v>
      </c>
    </row>
    <row r="873" spans="2:13" x14ac:dyDescent="0.35">
      <c r="B873">
        <v>869</v>
      </c>
      <c r="C873">
        <v>2716</v>
      </c>
      <c r="D873" s="1">
        <v>42039</v>
      </c>
      <c r="E873" s="1">
        <v>42039</v>
      </c>
      <c r="F873" t="s">
        <v>4</v>
      </c>
      <c r="G873" t="s">
        <v>3</v>
      </c>
      <c r="H873">
        <v>1000</v>
      </c>
      <c r="I873">
        <v>550</v>
      </c>
      <c r="J873">
        <v>80</v>
      </c>
      <c r="K873">
        <f>Claim[[#This Row],[Monto de prima]]-SUM(Claim[[#This Row],[Costo el reclamo]:[Costo de delivery]])</f>
        <v>370</v>
      </c>
      <c r="L873" t="s">
        <v>12</v>
      </c>
      <c r="M873" t="s">
        <v>19</v>
      </c>
    </row>
    <row r="874" spans="2:13" x14ac:dyDescent="0.35">
      <c r="B874">
        <v>870</v>
      </c>
      <c r="C874">
        <v>1566</v>
      </c>
      <c r="D874" s="1">
        <v>40553</v>
      </c>
      <c r="E874" s="1">
        <v>43568</v>
      </c>
      <c r="F874" t="s">
        <v>4</v>
      </c>
      <c r="G874" t="s">
        <v>5</v>
      </c>
      <c r="H874">
        <v>1000</v>
      </c>
      <c r="I874">
        <v>550</v>
      </c>
      <c r="J874">
        <v>50</v>
      </c>
      <c r="K874">
        <f>Claim[[#This Row],[Monto de prima]]-SUM(Claim[[#This Row],[Costo el reclamo]:[Costo de delivery]])</f>
        <v>400</v>
      </c>
      <c r="L874" t="s">
        <v>8</v>
      </c>
      <c r="M874" t="s">
        <v>17</v>
      </c>
    </row>
    <row r="875" spans="2:13" x14ac:dyDescent="0.35">
      <c r="B875">
        <v>871</v>
      </c>
      <c r="C875">
        <v>4880</v>
      </c>
      <c r="D875" s="1">
        <v>41492</v>
      </c>
      <c r="E875" s="1">
        <v>41735</v>
      </c>
      <c r="F875" t="s">
        <v>1</v>
      </c>
      <c r="G875" t="s">
        <v>6</v>
      </c>
      <c r="H875">
        <v>250</v>
      </c>
      <c r="I875">
        <v>450</v>
      </c>
      <c r="J875">
        <v>50</v>
      </c>
      <c r="K875">
        <f>Claim[[#This Row],[Monto de prima]]-SUM(Claim[[#This Row],[Costo el reclamo]:[Costo de delivery]])</f>
        <v>-250</v>
      </c>
      <c r="L875" t="s">
        <v>11</v>
      </c>
      <c r="M875" t="s">
        <v>18</v>
      </c>
    </row>
    <row r="876" spans="2:13" x14ac:dyDescent="0.35">
      <c r="B876">
        <v>872</v>
      </c>
      <c r="C876">
        <v>1606</v>
      </c>
      <c r="D876" s="1">
        <v>42183</v>
      </c>
      <c r="E876" s="1">
        <v>42704</v>
      </c>
      <c r="F876" t="s">
        <v>30</v>
      </c>
      <c r="G876" t="s">
        <v>3</v>
      </c>
      <c r="H876">
        <v>600</v>
      </c>
      <c r="I876">
        <v>200</v>
      </c>
      <c r="J876">
        <v>20</v>
      </c>
      <c r="K876">
        <f>Claim[[#This Row],[Monto de prima]]-SUM(Claim[[#This Row],[Costo el reclamo]:[Costo de delivery]])</f>
        <v>380</v>
      </c>
      <c r="L876" t="s">
        <v>9</v>
      </c>
      <c r="M87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2020-02-07T23:36:55Z</dcterms:created>
  <dcterms:modified xsi:type="dcterms:W3CDTF">2020-04-07T01:49:53Z</dcterms:modified>
</cp:coreProperties>
</file>